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HREENATH\Downloads\"/>
    </mc:Choice>
  </mc:AlternateContent>
  <xr:revisionPtr revIDLastSave="0" documentId="13_ncr:1_{AAF648E5-7F93-4EC9-A428-2AE4C04010E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01 Sort &amp; Filter" sheetId="1" r:id="rId1"/>
    <sheet name="02 IF COUNT AVERAGE" sheetId="2" r:id="rId2"/>
    <sheet name="03 Text &amp; Logic" sheetId="3" r:id="rId3"/>
    <sheet name="04 SUBTOTAL INDIRECT OFFSET" sheetId="4" r:id="rId4"/>
    <sheet name="05 Mixed Challenge" sheetId="5" r:id="rId5"/>
    <sheet name="06 Quick Reference" sheetId="6" r:id="rId6"/>
    <sheet name="Sheet1" sheetId="7" r:id="rId7"/>
  </sheets>
  <definedNames>
    <definedName name="_xlnm._FilterDatabase" localSheetId="0" hidden="1">'01 Sort &amp; Filter'!$C$30:$C$36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5" l="1"/>
  <c r="F46" i="5"/>
  <c r="F39" i="5"/>
  <c r="F40" i="5"/>
  <c r="F41" i="5"/>
  <c r="F42" i="5"/>
  <c r="F43" i="5"/>
  <c r="F38" i="5"/>
  <c r="H33" i="5"/>
  <c r="H32" i="5"/>
  <c r="H31" i="5"/>
  <c r="H30" i="5"/>
  <c r="H29" i="5"/>
  <c r="H28" i="5"/>
  <c r="H15" i="5"/>
  <c r="H16" i="5"/>
  <c r="H17" i="5"/>
  <c r="H18" i="5"/>
  <c r="H19" i="5"/>
  <c r="H20" i="5"/>
  <c r="H21" i="5"/>
  <c r="H22" i="5"/>
  <c r="H23" i="5"/>
  <c r="H14" i="5"/>
  <c r="E40" i="4"/>
  <c r="E39" i="4"/>
  <c r="H26" i="4"/>
  <c r="H25" i="4"/>
  <c r="H24" i="4"/>
  <c r="E58" i="3" a="1"/>
  <c r="E58" i="3" s="1"/>
  <c r="E50" i="3"/>
  <c r="E51" i="3"/>
  <c r="E52" i="3"/>
  <c r="E53" i="3"/>
  <c r="E49" i="3"/>
  <c r="C39" i="3"/>
  <c r="C40" i="3"/>
  <c r="C41" i="3"/>
  <c r="C42" i="3"/>
  <c r="C38" i="3"/>
  <c r="G35" i="2"/>
  <c r="I14" i="3"/>
  <c r="H14" i="3"/>
  <c r="G15" i="3"/>
  <c r="G16" i="3"/>
  <c r="G17" i="3"/>
  <c r="G18" i="3"/>
  <c r="G14" i="3"/>
  <c r="M14" i="2"/>
  <c r="K14" i="2"/>
  <c r="J14" i="2"/>
  <c r="I14" i="2"/>
  <c r="H14" i="2"/>
  <c r="G14" i="2"/>
  <c r="H31" i="1" a="1"/>
  <c r="H31" i="1" s="1"/>
  <c r="G31" i="1" a="1"/>
  <c r="G31" i="1" s="1"/>
  <c r="C28" i="1"/>
  <c r="I27" i="1" a="1"/>
  <c r="I27" i="1" s="1"/>
  <c r="S14" i="1" a="1"/>
  <c r="S14" i="1" s="1"/>
  <c r="I14" i="1" a="1"/>
  <c r="I14" i="1" s="1"/>
  <c r="L14" i="2"/>
  <c r="C11" i="5"/>
  <c r="C10" i="5"/>
  <c r="C8" i="5"/>
  <c r="C8" i="4"/>
  <c r="C6" i="4"/>
  <c r="C10" i="3"/>
  <c r="C6" i="3"/>
  <c r="C9" i="3" s="1"/>
  <c r="C11" i="2"/>
  <c r="C10" i="2"/>
  <c r="C9" i="2"/>
  <c r="C8" i="2"/>
  <c r="C7" i="2"/>
  <c r="C6" i="2"/>
  <c r="C12" i="5"/>
  <c r="C8" i="3"/>
  <c r="C7" i="4"/>
  <c r="C7" i="5"/>
  <c r="C6" i="5"/>
  <c r="C9" i="5"/>
  <c r="E38" i="4"/>
  <c r="E38" i="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<sst xmlns="http://schemas.openxmlformats.org/spreadsheetml/2006/main" count="706" uniqueCount="293">
  <si>
    <t>Sorting and Filtering Data — Practice</t>
  </si>
  <si>
    <t>Each sheet has TWO practice tables. Result areas are highlighted green and are the only places where formulas/results should be entered.</t>
  </si>
  <si>
    <t>Staff Name</t>
  </si>
  <si>
    <t>Mr. Barkat Amir Nadaf</t>
  </si>
  <si>
    <t>FORMULA / FUNCTION QUICK GUIDE</t>
  </si>
  <si>
    <t>Tool / Feature</t>
  </si>
  <si>
    <t>Syntax / Path</t>
  </si>
  <si>
    <t>Example</t>
  </si>
  <si>
    <t>Explanation</t>
  </si>
  <si>
    <t>Sort</t>
  </si>
  <si>
    <t>Data → Sort</t>
  </si>
  <si>
    <t>Sort by Unit Price → Largest to Smallest</t>
  </si>
  <si>
    <t>Rearranges the complete table according to one or more columns.</t>
  </si>
  <si>
    <t>Filter</t>
  </si>
  <si>
    <t>Data → Filter</t>
  </si>
  <si>
    <t>Department = IT</t>
  </si>
  <si>
    <t>Temporarily hides rows that do not meet the selected condition.</t>
  </si>
  <si>
    <t>Multi-level Sort</t>
  </si>
  <si>
    <t>Data → Sort → Add Level</t>
  </si>
  <si>
    <t>Department A→Z, then Qty Largest→Smallest</t>
  </si>
  <si>
    <t>Applies a second sorting rule within each group created by the first rule.</t>
  </si>
  <si>
    <t>Now practice below. Green cells/ranges are the exact Result area.</t>
  </si>
  <si>
    <t>Employee</t>
  </si>
  <si>
    <t>Department</t>
  </si>
  <si>
    <t>City</t>
  </si>
  <si>
    <t>Product</t>
  </si>
  <si>
    <t>Qty</t>
  </si>
  <si>
    <t>Unit Price</t>
  </si>
  <si>
    <t>Payment</t>
  </si>
  <si>
    <t>Month</t>
  </si>
  <si>
    <t>SORT/FILTER OUTPUT</t>
  </si>
  <si>
    <t>Aarav</t>
  </si>
  <si>
    <t>IT</t>
  </si>
  <si>
    <t>Pune</t>
  </si>
  <si>
    <t>Laptop</t>
  </si>
  <si>
    <t>Paid</t>
  </si>
  <si>
    <t>Jan</t>
  </si>
  <si>
    <t>Meera</t>
  </si>
  <si>
    <t>HR</t>
  </si>
  <si>
    <t>Mumbai</t>
  </si>
  <si>
    <t>Monitor</t>
  </si>
  <si>
    <t>Pending</t>
  </si>
  <si>
    <t>Kabir</t>
  </si>
  <si>
    <t>Nashik</t>
  </si>
  <si>
    <t>Keyboard</t>
  </si>
  <si>
    <t>Feb</t>
  </si>
  <si>
    <t>Sara</t>
  </si>
  <si>
    <t>Finance</t>
  </si>
  <si>
    <t>Riya</t>
  </si>
  <si>
    <t>Mar</t>
  </si>
  <si>
    <t>Adil</t>
  </si>
  <si>
    <t>Sales</t>
  </si>
  <si>
    <t>Neha</t>
  </si>
  <si>
    <t>Apr</t>
  </si>
  <si>
    <t>Omar</t>
  </si>
  <si>
    <t>Task 1</t>
  </si>
  <si>
    <t>Sort the data by Unit Price from largest to smallest.</t>
  </si>
  <si>
    <t>Result → I6:I13</t>
  </si>
  <si>
    <t>Task 2</t>
  </si>
  <si>
    <t>Sort first by Department A→Z and then Qty largest→smallest.</t>
  </si>
  <si>
    <t>Task 3</t>
  </si>
  <si>
    <t>Filter only IT employees and copy the visible Employee names into the result area.</t>
  </si>
  <si>
    <t>Task 4</t>
  </si>
  <si>
    <t>Filter Payment = Pending AND City = Mumbai; enter the number of matching records.</t>
  </si>
  <si>
    <t>Result → I14</t>
  </si>
  <si>
    <t>Order ID</t>
  </si>
  <si>
    <t>FILTER RESULT</t>
  </si>
  <si>
    <t>O101</t>
  </si>
  <si>
    <t>O102</t>
  </si>
  <si>
    <t>O103</t>
  </si>
  <si>
    <t>SSD</t>
  </si>
  <si>
    <t>O104</t>
  </si>
  <si>
    <t>O105</t>
  </si>
  <si>
    <t>O106</t>
  </si>
  <si>
    <t>Task 5</t>
  </si>
  <si>
    <t>Filter City = Mumbai and copy the matching Order IDs to the result area.</t>
  </si>
  <si>
    <t>Result → G23:G28</t>
  </si>
  <si>
    <t>Task 6</t>
  </si>
  <si>
    <t>Filter Product = Laptop and copy the matching Employee names to the result area.</t>
  </si>
  <si>
    <t>Task 7</t>
  </si>
  <si>
    <t>Clear the filter and restore the complete second table.</t>
  </si>
  <si>
    <t>SUMIF / SUMIFS / COUNTIF / COUNTIFS / AVERAGEIF / AVERAGEIFS</t>
  </si>
  <si>
    <t>Two datasets. For row-wise tasks, use the green Result column. For summary tasks, use the green cell beside the task.</t>
  </si>
  <si>
    <t>Function</t>
  </si>
  <si>
    <t>Syntax</t>
  </si>
  <si>
    <t>SUMIF</t>
  </si>
  <si>
    <t>SUMIF(range, criteria, sum_range)</t>
  </si>
  <si>
    <t>Adds values when one condition is satisfied.</t>
  </si>
  <si>
    <t>SUMIFS</t>
  </si>
  <si>
    <t>SUMIFS(sum_range, criteria_range1, criteria1, ...)</t>
  </si>
  <si>
    <t>Adds values when multiple conditions are satisfied.</t>
  </si>
  <si>
    <t>COUNTIF</t>
  </si>
  <si>
    <t>COUNTIF(range, criteria)</t>
  </si>
  <si>
    <t>Counts cells that satisfy one condition.</t>
  </si>
  <si>
    <t>COUNTIFS</t>
  </si>
  <si>
    <t>COUNTIFS(range1, criteria1, range2, criteria2, ...)</t>
  </si>
  <si>
    <t>Counts records satisfying multiple conditions.</t>
  </si>
  <si>
    <t>AVERAGEIF</t>
  </si>
  <si>
    <t>AVERAGEIF(range, criteria, average_range)</t>
  </si>
  <si>
    <t>Calculates an average using one condition.</t>
  </si>
  <si>
    <t>AVERAGEIFS</t>
  </si>
  <si>
    <t>AVERAGEIFS(average_range, range1, criteria1, ...)</t>
  </si>
  <si>
    <t>Calculates an average using multiple conditions.</t>
  </si>
  <si>
    <t>Name</t>
  </si>
  <si>
    <t>Gender</t>
  </si>
  <si>
    <t>Salary</t>
  </si>
  <si>
    <t>Performance</t>
  </si>
  <si>
    <t>RESULT</t>
  </si>
  <si>
    <t>Male</t>
  </si>
  <si>
    <t>Female</t>
  </si>
  <si>
    <t>Zoya</t>
  </si>
  <si>
    <t>Ishan</t>
  </si>
  <si>
    <t>Calculate a Bonus of 10% of Salary for every employee. Use a formula and fill down.</t>
  </si>
  <si>
    <t>Use SUMIF to find total Salary of IT employees.</t>
  </si>
  <si>
    <t>Use SUMIFS to find total Salary of IT employees from Pune.</t>
  </si>
  <si>
    <t>Use COUNTIF to count IT employees.</t>
  </si>
  <si>
    <t>Use COUNTIFS to count Mumbai employees with Salary &gt; 50000.</t>
  </si>
  <si>
    <t>Use AVERAGEIF to find average Salary of Finance employees.</t>
  </si>
  <si>
    <t>Use AVERAGEIFS to find average Performance of IT employees from Pune.</t>
  </si>
  <si>
    <t>Code</t>
  </si>
  <si>
    <t>Category</t>
  </si>
  <si>
    <t>Price</t>
  </si>
  <si>
    <t>P001</t>
  </si>
  <si>
    <t>P002</t>
  </si>
  <si>
    <t>P003</t>
  </si>
  <si>
    <t>P004</t>
  </si>
  <si>
    <t>Admin</t>
  </si>
  <si>
    <t>Printer</t>
  </si>
  <si>
    <t>P005</t>
  </si>
  <si>
    <t>Mouse</t>
  </si>
  <si>
    <t>P006</t>
  </si>
  <si>
    <t>Network</t>
  </si>
  <si>
    <t>Router</t>
  </si>
  <si>
    <t>P007</t>
  </si>
  <si>
    <t>P008</t>
  </si>
  <si>
    <t>Projector</t>
  </si>
  <si>
    <t>Task 8</t>
  </si>
  <si>
    <t>Use SUMIF to calculate total Qty for IT.</t>
  </si>
  <si>
    <t>Task 9</t>
  </si>
  <si>
    <t>Use SUMIFS to calculate total Qty for IT where Price &gt; 5000.</t>
  </si>
  <si>
    <t>Task 10</t>
  </si>
  <si>
    <t>Use COUNTIF to count products with Qty &gt; 10.</t>
  </si>
  <si>
    <t>Task 11</t>
  </si>
  <si>
    <t>Use COUNTIFS to count IT products with Qty &gt; 10.</t>
  </si>
  <si>
    <t>Task 12</t>
  </si>
  <si>
    <t>Use AVERAGEIF to find average Price for IT.</t>
  </si>
  <si>
    <t>IFERROR / CHOOSE / TEXTJOIN / CONCATENATE / TRANSPOSE</t>
  </si>
  <si>
    <t>Two practice tables. Green cells/ranges are the exact formula/result destinations.</t>
  </si>
  <si>
    <t>IFERROR</t>
  </si>
  <si>
    <t>IFERROR(value, value_if_error)</t>
  </si>
  <si>
    <t>Returns an alternative value when the formula produces an error.</t>
  </si>
  <si>
    <t>CHOOSE</t>
  </si>
  <si>
    <t>CHOOSE(index_num, value1, value2, ...)</t>
  </si>
  <si>
    <t>Returns a value based on the position/index number.</t>
  </si>
  <si>
    <t>TEXTJOIN</t>
  </si>
  <si>
    <t>TEXTJOIN(delimiter, ignore_empty, text1, ...)</t>
  </si>
  <si>
    <t>Combines text using a chosen delimiter.</t>
  </si>
  <si>
    <t>CONCATENATE</t>
  </si>
  <si>
    <t>CONCATENATE(text1, text2, ...)</t>
  </si>
  <si>
    <t>Joins multiple text values into one text string.</t>
  </si>
  <si>
    <t>TRANSPOSE</t>
  </si>
  <si>
    <t>TRANSPOSE(array)</t>
  </si>
  <si>
    <t>Changes a vertical range into a horizontal range, or vice versa.</t>
  </si>
  <si>
    <t>First Name</t>
  </si>
  <si>
    <t>Middle Name</t>
  </si>
  <si>
    <t>Last Name</t>
  </si>
  <si>
    <t>Title</t>
  </si>
  <si>
    <t>Country</t>
  </si>
  <si>
    <t>Level</t>
  </si>
  <si>
    <t>CONCATENATE RESULT</t>
  </si>
  <si>
    <t>Barkat</t>
  </si>
  <si>
    <t>Amir</t>
  </si>
  <si>
    <t>Nadaf</t>
  </si>
  <si>
    <t>Mr.</t>
  </si>
  <si>
    <t>India</t>
  </si>
  <si>
    <t>Ayesha</t>
  </si>
  <si>
    <t>Khan</t>
  </si>
  <si>
    <t>Shaikh</t>
  </si>
  <si>
    <t>Ms.</t>
  </si>
  <si>
    <t>Rahul</t>
  </si>
  <si>
    <t>Patil</t>
  </si>
  <si>
    <t>Jadhav</t>
  </si>
  <si>
    <t>Ali</t>
  </si>
  <si>
    <t>Qureshi</t>
  </si>
  <si>
    <t>Ansari</t>
  </si>
  <si>
    <t>Use CONCATENATE to create Full Name from First + Middle + Last. Fill down.</t>
  </si>
  <si>
    <t>Result → G6:G10</t>
  </si>
  <si>
    <t>Use TEXTJOIN to create Full Name with spaces.</t>
  </si>
  <si>
    <t>Result → G15:G19</t>
  </si>
  <si>
    <t>Use CHOOSE: 1=Beginner, 2=Intermediate, 3=Advanced.</t>
  </si>
  <si>
    <t>Result → G22:G26</t>
  </si>
  <si>
    <t>Number A</t>
  </si>
  <si>
    <t>Number B</t>
  </si>
  <si>
    <t>SAFE DIVISION RESULT</t>
  </si>
  <si>
    <t>Use IFERROR to divide Number A by Number B. If division causes an error, display Not Available.</t>
  </si>
  <si>
    <t>Result → C30:C34</t>
  </si>
  <si>
    <t>Use TEXTJOIN to combine Name, Department and City using ' - ' as delimiter.</t>
  </si>
  <si>
    <t>Result → E41:E45</t>
  </si>
  <si>
    <t>Use TRANSPOSE to convert the Name column into a horizontal list.</t>
  </si>
  <si>
    <t>Result → E50:I50</t>
  </si>
  <si>
    <t>SUBTOTAL / INDIRECT / OFFSET</t>
  </si>
  <si>
    <t>Two practice tables. For SUBTOTAL, apply filters to the table and put the calculated result in the highlighted cells.</t>
  </si>
  <si>
    <t>SUBTOTAL</t>
  </si>
  <si>
    <t>SUBTOTAL(function_num, ref1, ...)</t>
  </si>
  <si>
    <t>Performs a calculation and can ignore filtered-out rows. 9 = SUM; 1 = AVERAGE; 2 = COUNT.</t>
  </si>
  <si>
    <t>INDIRECT</t>
  </si>
  <si>
    <t>INDIRECT(ref_text)</t>
  </si>
  <si>
    <t>Converts text containing a cell/range address into an actual reference.</t>
  </si>
  <si>
    <t>OFFSET</t>
  </si>
  <si>
    <t>OFFSET(reference, rows, cols, [height], [width])</t>
  </si>
  <si>
    <t>Returns a reference shifted by a specified number of rows and columns.</t>
  </si>
  <si>
    <t>Use SUBTOTAL to calculate the SUM of visible Qty. Then filter Category and test the result again.</t>
  </si>
  <si>
    <t>Result → H16</t>
  </si>
  <si>
    <t>Use SUBTOTAL to calculate the AVERAGE of visible Price.</t>
  </si>
  <si>
    <t>Result → H17</t>
  </si>
  <si>
    <t>Use SUBTOTAL to COUNT visible Product records.</t>
  </si>
  <si>
    <t>Result → H18</t>
  </si>
  <si>
    <t>Amount</t>
  </si>
  <si>
    <t>A</t>
  </si>
  <si>
    <t>B</t>
  </si>
  <si>
    <t>Marketing</t>
  </si>
  <si>
    <t>C</t>
  </si>
  <si>
    <t>D</t>
  </si>
  <si>
    <t>E</t>
  </si>
  <si>
    <t>Use INDIRECT to return the Amount from a cell address stored as text. Enter the text reference in G30 and return the value in E30.</t>
  </si>
  <si>
    <t>Result → E30</t>
  </si>
  <si>
    <t>Type cell reference here</t>
  </si>
  <si>
    <t>Use OFFSET to return the Amount one row below a selected starting cell.</t>
  </si>
  <si>
    <t>Result → E31</t>
  </si>
  <si>
    <t>Use OFFSET to calculate the total of the next 3 Amount cells from a selected starting point.</t>
  </si>
  <si>
    <t>Result → E32</t>
  </si>
  <si>
    <t>Mixed Functions — Mini Case Study</t>
  </si>
  <si>
    <t>Two practice tables. Use the green result areas only. Combine functions where the task requires it.</t>
  </si>
  <si>
    <t>Adds results for records matching one condition.</t>
  </si>
  <si>
    <t>Adds results matching multiple conditions.</t>
  </si>
  <si>
    <t>Counts records matching one condition.</t>
  </si>
  <si>
    <t>COUNTIFS(range1, criteria1, ...)</t>
  </si>
  <si>
    <t>Counts records matching multiple conditions.</t>
  </si>
  <si>
    <t>Averages values matching one condition.</t>
  </si>
  <si>
    <t>Prevents an error from being displayed and returns the chosen alternative.</t>
  </si>
  <si>
    <t>Combines multiple text values with a delimiter.</t>
  </si>
  <si>
    <t>SALES VALUE RESULT</t>
  </si>
  <si>
    <t>O107</t>
  </si>
  <si>
    <t>O108</t>
  </si>
  <si>
    <t>O109</t>
  </si>
  <si>
    <t>O110</t>
  </si>
  <si>
    <t>Calculate Sales Value for each order = Qty × Unit Price. Fill down.</t>
  </si>
  <si>
    <t>Result → H6:H15</t>
  </si>
  <si>
    <t>Use SUMIF to find total Sales Value for IT.</t>
  </si>
  <si>
    <t>Result → H19</t>
  </si>
  <si>
    <t>Use SUMIFS to find total Sales Value for IT AND Paid.</t>
  </si>
  <si>
    <t>Result → H20</t>
  </si>
  <si>
    <t>Use COUNTIF to count Pending orders.</t>
  </si>
  <si>
    <t>Result → H21</t>
  </si>
  <si>
    <t>Use COUNTIFS to count IT orders that are Pending.</t>
  </si>
  <si>
    <t>Result → H22</t>
  </si>
  <si>
    <t>Use AVERAGEIF to find average Unit Price for Laptop orders.</t>
  </si>
  <si>
    <t>Result → H23</t>
  </si>
  <si>
    <t>Use IFERROR to calculate Paid Orders ÷ Total Orders safely.</t>
  </si>
  <si>
    <t>Result → H24</t>
  </si>
  <si>
    <t>Use TEXTJOIN to combine Employee, Department and City into one label.</t>
  </si>
  <si>
    <t>Result → F30:F35</t>
  </si>
  <si>
    <t>Use COUNTIFS to count IT employees from Mumbai.</t>
  </si>
  <si>
    <t>Use AVERAGEIFS to find average Salary for Paid IT employees.</t>
  </si>
  <si>
    <t>Quick Reference — Function Syntax</t>
  </si>
  <si>
    <t>Attempt the tasks first, then use this sheet as a reference.</t>
  </si>
  <si>
    <t>Purpose</t>
  </si>
  <si>
    <t>One condition + sum</t>
  </si>
  <si>
    <t>Multiple conditions + sum</t>
  </si>
  <si>
    <t>One condition + count</t>
  </si>
  <si>
    <t>Multiple conditions + count</t>
  </si>
  <si>
    <t>One condition + average</t>
  </si>
  <si>
    <t>Multiple conditions + average</t>
  </si>
  <si>
    <t>Handle formula errors</t>
  </si>
  <si>
    <t>Select value by index</t>
  </si>
  <si>
    <t>Join text</t>
  </si>
  <si>
    <t>Rows ↔ columns</t>
  </si>
  <si>
    <t>Calculations responsive to filtering</t>
  </si>
  <si>
    <t>Use text as reference</t>
  </si>
  <si>
    <t>Return shifted reference</t>
  </si>
  <si>
    <t xml:space="preserve"> </t>
  </si>
  <si>
    <t xml:space="preserve">  </t>
  </si>
  <si>
    <t>sum of salary (IT)</t>
  </si>
  <si>
    <t>IT pune</t>
  </si>
  <si>
    <t>Count of IT emp</t>
  </si>
  <si>
    <t>Count salary &gt;50K</t>
  </si>
  <si>
    <t>salary of finance emp</t>
  </si>
  <si>
    <t>average performance of IT emp in Pune</t>
  </si>
  <si>
    <t>sum qty for it</t>
  </si>
  <si>
    <t>=</t>
  </si>
  <si>
    <t xml:space="preserve">For this task we need to clear all the filters that are applied on the table </t>
  </si>
  <si>
    <t>using Text Join</t>
  </si>
  <si>
    <t>using alternate 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</si>
</sst>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1F4E7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4" borderId="4" xfId="0" applyNumberForma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opLeftCell="B1" zoomScale="85" workbookViewId="0">
      <selection activeCell="D40" sqref="D40"/>
    </sheetView>
  </sheetViews>
  <sheetFormatPr defaultRowHeight="14.4" x14ac:dyDescent="0.3"/>
  <cols>
    <col min="1" max="1" width="24" customWidth="1"/>
    <col min="2" max="2" width="42" customWidth="1"/>
    <col min="3" max="3" width="48" customWidth="1"/>
    <col min="4" max="4" width="55" customWidth="1"/>
    <col min="5" max="5" width="16" customWidth="1"/>
    <col min="6" max="6" width="26" customWidth="1"/>
    <col min="7" max="10" width="18" customWidth="1"/>
  </cols>
  <sheetData>
    <row r="1" spans="1:26" x14ac:dyDescent="0.3">
      <c r="A1" s="26" t="s">
        <v>0</v>
      </c>
      <c r="B1" s="24"/>
      <c r="C1" s="24"/>
      <c r="D1" s="24"/>
      <c r="E1" s="24"/>
      <c r="F1" s="24"/>
      <c r="G1" s="24"/>
      <c r="H1" s="24"/>
    </row>
    <row r="2" spans="1:26" x14ac:dyDescent="0.3">
      <c r="A2" s="25" t="s">
        <v>1</v>
      </c>
      <c r="B2" s="24"/>
      <c r="C2" s="24"/>
      <c r="D2" s="24"/>
      <c r="E2" s="24"/>
      <c r="F2" s="24"/>
      <c r="G2" s="24"/>
      <c r="H2" s="24"/>
    </row>
    <row r="3" spans="1:26" x14ac:dyDescent="0.3">
      <c r="A3" s="1" t="s">
        <v>2</v>
      </c>
      <c r="B3" s="1" t="s">
        <v>3</v>
      </c>
    </row>
    <row r="4" spans="1:26" x14ac:dyDescent="0.3">
      <c r="A4" s="23" t="s">
        <v>4</v>
      </c>
      <c r="B4" s="24"/>
      <c r="C4" s="24"/>
      <c r="D4" s="24"/>
    </row>
    <row r="5" spans="1:26" x14ac:dyDescent="0.3">
      <c r="A5" s="2" t="s">
        <v>5</v>
      </c>
      <c r="B5" s="2" t="s">
        <v>6</v>
      </c>
      <c r="C5" s="2" t="s">
        <v>7</v>
      </c>
      <c r="D5" s="2" t="s">
        <v>8</v>
      </c>
    </row>
    <row r="6" spans="1:26" ht="28.8" x14ac:dyDescent="0.3">
      <c r="A6" s="10" t="s">
        <v>9</v>
      </c>
      <c r="B6" s="10" t="s">
        <v>10</v>
      </c>
      <c r="C6" s="10" t="s">
        <v>11</v>
      </c>
      <c r="D6" s="10" t="s">
        <v>12</v>
      </c>
    </row>
    <row r="7" spans="1:26" x14ac:dyDescent="0.3">
      <c r="A7" s="12" t="s">
        <v>13</v>
      </c>
      <c r="B7" s="12" t="s">
        <v>14</v>
      </c>
      <c r="C7" s="12" t="s">
        <v>15</v>
      </c>
      <c r="D7" s="12" t="s">
        <v>16</v>
      </c>
    </row>
    <row r="8" spans="1:26" ht="28.8" x14ac:dyDescent="0.3">
      <c r="A8" s="10" t="s">
        <v>17</v>
      </c>
      <c r="B8" s="10" t="s">
        <v>18</v>
      </c>
      <c r="C8" s="10" t="s">
        <v>19</v>
      </c>
      <c r="D8" s="10" t="s">
        <v>20</v>
      </c>
    </row>
    <row r="9" spans="1:26" x14ac:dyDescent="0.3">
      <c r="A9" s="20" t="s">
        <v>21</v>
      </c>
      <c r="B9" s="21"/>
      <c r="C9" s="21"/>
      <c r="D9" s="22"/>
    </row>
    <row r="13" spans="1:26" ht="28.8" x14ac:dyDescent="0.3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</row>
    <row r="14" spans="1:26" x14ac:dyDescent="0.3">
      <c r="A14" s="3" t="s">
        <v>31</v>
      </c>
      <c r="B14" s="3" t="s">
        <v>32</v>
      </c>
      <c r="C14" s="3" t="s">
        <v>33</v>
      </c>
      <c r="D14" s="3" t="s">
        <v>34</v>
      </c>
      <c r="E14" s="3">
        <v>3</v>
      </c>
      <c r="F14" s="3">
        <v>55000</v>
      </c>
      <c r="G14" s="3" t="s">
        <v>35</v>
      </c>
      <c r="H14" s="3" t="s">
        <v>36</v>
      </c>
      <c r="I14" s="4" t="str" cm="1">
        <f t="array" ref="I14:P21">_xlfn._xlws.SORT(A14:H21, 6, -1)</f>
        <v>Aarav</v>
      </c>
      <c r="J14" t="str">
        <v>IT</v>
      </c>
      <c r="K14" t="str">
        <v>Pune</v>
      </c>
      <c r="L14" t="str">
        <v>Laptop</v>
      </c>
      <c r="M14">
        <v>3</v>
      </c>
      <c r="N14">
        <v>55000</v>
      </c>
      <c r="O14" t="str">
        <v>Paid</v>
      </c>
      <c r="P14" t="str">
        <v>Jan</v>
      </c>
      <c r="S14" t="str" cm="1">
        <f t="array" ref="S14:Z21">_xlfn._xlws.SORT(A14:H21, {2,5}, {1,-1})</f>
        <v>Neha</v>
      </c>
      <c r="T14" t="str">
        <v>Finance</v>
      </c>
      <c r="U14" t="str">
        <v>Mumbai</v>
      </c>
      <c r="V14" t="str">
        <v>Keyboard</v>
      </c>
      <c r="W14">
        <v>12</v>
      </c>
      <c r="X14">
        <v>2500</v>
      </c>
      <c r="Y14" t="str">
        <v>Paid</v>
      </c>
      <c r="Z14" t="str">
        <v>Apr</v>
      </c>
    </row>
    <row r="15" spans="1:26" x14ac:dyDescent="0.3">
      <c r="A15" s="3" t="s">
        <v>37</v>
      </c>
      <c r="B15" s="3" t="s">
        <v>38</v>
      </c>
      <c r="C15" s="3" t="s">
        <v>39</v>
      </c>
      <c r="D15" s="3" t="s">
        <v>40</v>
      </c>
      <c r="E15" s="3">
        <v>5</v>
      </c>
      <c r="F15" s="3">
        <v>18000</v>
      </c>
      <c r="G15" s="3" t="s">
        <v>41</v>
      </c>
      <c r="H15" s="3" t="s">
        <v>36</v>
      </c>
      <c r="I15" s="4" t="str">
        <v>Sara</v>
      </c>
      <c r="J15" t="str">
        <v>Finance</v>
      </c>
      <c r="K15" t="str">
        <v>Pune</v>
      </c>
      <c r="L15" t="str">
        <v>Laptop</v>
      </c>
      <c r="M15">
        <v>2</v>
      </c>
      <c r="N15">
        <v>55000</v>
      </c>
      <c r="O15" t="str">
        <v>Paid</v>
      </c>
      <c r="P15" t="str">
        <v>Feb</v>
      </c>
      <c r="S15" t="str">
        <v>Sara</v>
      </c>
      <c r="T15" t="str">
        <v>Finance</v>
      </c>
      <c r="U15" t="str">
        <v>Pune</v>
      </c>
      <c r="V15" t="str">
        <v>Laptop</v>
      </c>
      <c r="W15">
        <v>2</v>
      </c>
      <c r="X15">
        <v>55000</v>
      </c>
      <c r="Y15" t="str">
        <v>Paid</v>
      </c>
      <c r="Z15" t="str">
        <v>Feb</v>
      </c>
    </row>
    <row r="16" spans="1:26" x14ac:dyDescent="0.3">
      <c r="A16" s="3" t="s">
        <v>42</v>
      </c>
      <c r="B16" s="3" t="s">
        <v>32</v>
      </c>
      <c r="C16" s="3" t="s">
        <v>43</v>
      </c>
      <c r="D16" s="3" t="s">
        <v>44</v>
      </c>
      <c r="E16" s="3">
        <v>10</v>
      </c>
      <c r="F16" s="3">
        <v>2500</v>
      </c>
      <c r="G16" s="3" t="s">
        <v>35</v>
      </c>
      <c r="H16" s="3" t="s">
        <v>45</v>
      </c>
      <c r="I16" s="4" t="str">
        <v>Adil</v>
      </c>
      <c r="J16" t="str">
        <v>Sales</v>
      </c>
      <c r="K16" t="str">
        <v>Nashik</v>
      </c>
      <c r="L16" t="str">
        <v>Laptop</v>
      </c>
      <c r="M16">
        <v>4</v>
      </c>
      <c r="N16">
        <v>55000</v>
      </c>
      <c r="O16" t="str">
        <v>Paid</v>
      </c>
      <c r="P16" t="str">
        <v>Mar</v>
      </c>
      <c r="S16" t="str">
        <v>Meera</v>
      </c>
      <c r="T16" t="str">
        <v>HR</v>
      </c>
      <c r="U16" t="str">
        <v>Mumbai</v>
      </c>
      <c r="V16" t="str">
        <v>Monitor</v>
      </c>
      <c r="W16">
        <v>5</v>
      </c>
      <c r="X16">
        <v>18000</v>
      </c>
      <c r="Y16" t="str">
        <v>Pending</v>
      </c>
      <c r="Z16" t="str">
        <v>Jan</v>
      </c>
    </row>
    <row r="17" spans="1:26" ht="30.45" customHeight="1" x14ac:dyDescent="0.3">
      <c r="A17" s="3" t="s">
        <v>46</v>
      </c>
      <c r="B17" s="3" t="s">
        <v>47</v>
      </c>
      <c r="C17" s="3" t="s">
        <v>33</v>
      </c>
      <c r="D17" s="3" t="s">
        <v>34</v>
      </c>
      <c r="E17" s="3">
        <v>2</v>
      </c>
      <c r="F17" s="3">
        <v>55000</v>
      </c>
      <c r="G17" s="3" t="s">
        <v>35</v>
      </c>
      <c r="H17" s="3" t="s">
        <v>45</v>
      </c>
      <c r="I17" s="4" t="str">
        <v>Meera</v>
      </c>
      <c r="J17" t="str">
        <v>HR</v>
      </c>
      <c r="K17" t="str">
        <v>Mumbai</v>
      </c>
      <c r="L17" t="str">
        <v>Monitor</v>
      </c>
      <c r="M17">
        <v>5</v>
      </c>
      <c r="N17">
        <v>18000</v>
      </c>
      <c r="O17" t="str">
        <v>Pending</v>
      </c>
      <c r="P17" t="str">
        <v>Jan</v>
      </c>
      <c r="S17" t="str">
        <v>Kabir</v>
      </c>
      <c r="T17" t="str">
        <v>IT</v>
      </c>
      <c r="U17" t="str">
        <v>Nashik</v>
      </c>
      <c r="V17" t="str">
        <v>Keyboard</v>
      </c>
      <c r="W17">
        <v>10</v>
      </c>
      <c r="X17">
        <v>2500</v>
      </c>
      <c r="Y17" t="str">
        <v>Paid</v>
      </c>
      <c r="Z17" t="str">
        <v>Feb</v>
      </c>
    </row>
    <row r="18" spans="1:26" ht="30.45" customHeight="1" x14ac:dyDescent="0.3">
      <c r="A18" s="3" t="s">
        <v>48</v>
      </c>
      <c r="B18" s="3" t="s">
        <v>32</v>
      </c>
      <c r="C18" s="3" t="s">
        <v>39</v>
      </c>
      <c r="D18" s="3" t="s">
        <v>40</v>
      </c>
      <c r="E18" s="3">
        <v>8</v>
      </c>
      <c r="F18" s="3">
        <v>18000</v>
      </c>
      <c r="G18" s="3" t="s">
        <v>41</v>
      </c>
      <c r="H18" s="3" t="s">
        <v>49</v>
      </c>
      <c r="I18" s="4" t="str">
        <v>Riya</v>
      </c>
      <c r="J18" t="str">
        <v>IT</v>
      </c>
      <c r="K18" t="str">
        <v>Mumbai</v>
      </c>
      <c r="L18" t="str">
        <v>Monitor</v>
      </c>
      <c r="M18">
        <v>8</v>
      </c>
      <c r="N18">
        <v>18000</v>
      </c>
      <c r="O18" t="str">
        <v>Pending</v>
      </c>
      <c r="P18" t="str">
        <v>Mar</v>
      </c>
      <c r="S18" t="str">
        <v>Riya</v>
      </c>
      <c r="T18" t="str">
        <v>IT</v>
      </c>
      <c r="U18" t="str">
        <v>Mumbai</v>
      </c>
      <c r="V18" t="str">
        <v>Monitor</v>
      </c>
      <c r="W18">
        <v>8</v>
      </c>
      <c r="X18">
        <v>18000</v>
      </c>
      <c r="Y18" t="str">
        <v>Pending</v>
      </c>
      <c r="Z18" t="str">
        <v>Mar</v>
      </c>
    </row>
    <row r="19" spans="1:26" ht="30.45" customHeight="1" x14ac:dyDescent="0.3">
      <c r="A19" s="3" t="s">
        <v>50</v>
      </c>
      <c r="B19" s="3" t="s">
        <v>51</v>
      </c>
      <c r="C19" s="3" t="s">
        <v>43</v>
      </c>
      <c r="D19" s="3" t="s">
        <v>34</v>
      </c>
      <c r="E19" s="3">
        <v>4</v>
      </c>
      <c r="F19" s="3">
        <v>55000</v>
      </c>
      <c r="G19" s="3" t="s">
        <v>35</v>
      </c>
      <c r="H19" s="3" t="s">
        <v>49</v>
      </c>
      <c r="I19" s="4" t="str">
        <v>Omar</v>
      </c>
      <c r="J19" t="str">
        <v>Sales</v>
      </c>
      <c r="K19" t="str">
        <v>Pune</v>
      </c>
      <c r="L19" t="str">
        <v>Monitor</v>
      </c>
      <c r="M19">
        <v>7</v>
      </c>
      <c r="N19">
        <v>18000</v>
      </c>
      <c r="O19" t="str">
        <v>Pending</v>
      </c>
      <c r="P19" t="str">
        <v>Apr</v>
      </c>
      <c r="S19" t="str">
        <v>Aarav</v>
      </c>
      <c r="T19" t="str">
        <v>IT</v>
      </c>
      <c r="U19" t="str">
        <v>Pune</v>
      </c>
      <c r="V19" t="str">
        <v>Laptop</v>
      </c>
      <c r="W19">
        <v>3</v>
      </c>
      <c r="X19">
        <v>55000</v>
      </c>
      <c r="Y19" t="str">
        <v>Paid</v>
      </c>
      <c r="Z19" t="str">
        <v>Jan</v>
      </c>
    </row>
    <row r="20" spans="1:26" ht="30.45" customHeight="1" x14ac:dyDescent="0.3">
      <c r="A20" s="3" t="s">
        <v>52</v>
      </c>
      <c r="B20" s="3" t="s">
        <v>47</v>
      </c>
      <c r="C20" s="3" t="s">
        <v>39</v>
      </c>
      <c r="D20" s="3" t="s">
        <v>44</v>
      </c>
      <c r="E20" s="3">
        <v>12</v>
      </c>
      <c r="F20" s="3">
        <v>2500</v>
      </c>
      <c r="G20" s="3" t="s">
        <v>35</v>
      </c>
      <c r="H20" s="3" t="s">
        <v>53</v>
      </c>
      <c r="I20" s="4" t="str">
        <v>Kabir</v>
      </c>
      <c r="J20" t="str">
        <v>IT</v>
      </c>
      <c r="K20" t="str">
        <v>Nashik</v>
      </c>
      <c r="L20" t="str">
        <v>Keyboard</v>
      </c>
      <c r="M20">
        <v>10</v>
      </c>
      <c r="N20">
        <v>2500</v>
      </c>
      <c r="O20" t="str">
        <v>Paid</v>
      </c>
      <c r="P20" t="str">
        <v>Feb</v>
      </c>
      <c r="S20" t="str">
        <v>Omar</v>
      </c>
      <c r="T20" t="str">
        <v>Sales</v>
      </c>
      <c r="U20" t="str">
        <v>Pune</v>
      </c>
      <c r="V20" t="str">
        <v>Monitor</v>
      </c>
      <c r="W20">
        <v>7</v>
      </c>
      <c r="X20">
        <v>18000</v>
      </c>
      <c r="Y20" t="str">
        <v>Pending</v>
      </c>
      <c r="Z20" t="str">
        <v>Apr</v>
      </c>
    </row>
    <row r="21" spans="1:26" x14ac:dyDescent="0.3">
      <c r="A21" s="3" t="s">
        <v>54</v>
      </c>
      <c r="B21" s="3" t="s">
        <v>51</v>
      </c>
      <c r="C21" s="3" t="s">
        <v>33</v>
      </c>
      <c r="D21" s="3" t="s">
        <v>40</v>
      </c>
      <c r="E21" s="3">
        <v>7</v>
      </c>
      <c r="F21" s="3">
        <v>18000</v>
      </c>
      <c r="G21" s="3" t="s">
        <v>41</v>
      </c>
      <c r="H21" s="3" t="s">
        <v>53</v>
      </c>
      <c r="I21" s="4" t="str">
        <v>Neha</v>
      </c>
      <c r="J21" t="str">
        <v>Finance</v>
      </c>
      <c r="K21" t="str">
        <v>Mumbai</v>
      </c>
      <c r="L21" t="str">
        <v>Keyboard</v>
      </c>
      <c r="M21">
        <v>12</v>
      </c>
      <c r="N21">
        <v>2500</v>
      </c>
      <c r="O21" t="str">
        <v>Paid</v>
      </c>
      <c r="P21" t="str">
        <v>Apr</v>
      </c>
      <c r="S21" t="str">
        <v>Adil</v>
      </c>
      <c r="T21" t="str">
        <v>Sales</v>
      </c>
      <c r="U21" t="str">
        <v>Nashik</v>
      </c>
      <c r="V21" t="str">
        <v>Laptop</v>
      </c>
      <c r="W21">
        <v>4</v>
      </c>
      <c r="X21">
        <v>55000</v>
      </c>
      <c r="Y21" t="str">
        <v>Paid</v>
      </c>
      <c r="Z21" t="str">
        <v>Mar</v>
      </c>
    </row>
    <row r="22" spans="1:26" x14ac:dyDescent="0.3">
      <c r="I22" s="4"/>
    </row>
    <row r="25" spans="1:26" ht="28.8" x14ac:dyDescent="0.3">
      <c r="A25" s="5" t="s">
        <v>55</v>
      </c>
      <c r="B25" s="6" t="s">
        <v>56</v>
      </c>
      <c r="F25" s="5" t="s">
        <v>57</v>
      </c>
    </row>
    <row r="26" spans="1:26" ht="28.8" x14ac:dyDescent="0.3">
      <c r="A26" s="5" t="s">
        <v>58</v>
      </c>
      <c r="B26" s="6" t="s">
        <v>59</v>
      </c>
      <c r="F26" s="5" t="s">
        <v>57</v>
      </c>
    </row>
    <row r="27" spans="1:26" ht="28.8" x14ac:dyDescent="0.3">
      <c r="A27" s="5" t="s">
        <v>60</v>
      </c>
      <c r="B27" s="6" t="s">
        <v>61</v>
      </c>
      <c r="F27" s="5" t="s">
        <v>57</v>
      </c>
      <c r="I27" t="str" cm="1">
        <f t="array" ref="I27:I29">_xlfn._xlws.FILTER(A14:A21, B14:B21="IT")</f>
        <v>Aarav</v>
      </c>
    </row>
    <row r="28" spans="1:26" ht="28.8" x14ac:dyDescent="0.3">
      <c r="A28" s="5" t="s">
        <v>62</v>
      </c>
      <c r="B28" s="6" t="s">
        <v>63</v>
      </c>
      <c r="C28">
        <f>COUNTIFS(C14:C21, "Mumbai", G14:G21, "Pending")</f>
        <v>2</v>
      </c>
      <c r="F28" s="5" t="s">
        <v>64</v>
      </c>
      <c r="I28" t="str">
        <v>Kabir</v>
      </c>
    </row>
    <row r="29" spans="1:26" x14ac:dyDescent="0.3">
      <c r="I29" t="str">
        <v>Riya</v>
      </c>
    </row>
    <row r="30" spans="1:26" x14ac:dyDescent="0.3">
      <c r="A30" s="2" t="s">
        <v>65</v>
      </c>
      <c r="B30" s="2" t="s">
        <v>22</v>
      </c>
      <c r="C30" s="2" t="s">
        <v>24</v>
      </c>
      <c r="D30" s="2" t="s">
        <v>25</v>
      </c>
      <c r="E30" s="2" t="s">
        <v>26</v>
      </c>
      <c r="F30" s="2" t="s">
        <v>28</v>
      </c>
      <c r="G30" s="2" t="s">
        <v>66</v>
      </c>
    </row>
    <row r="31" spans="1:26" x14ac:dyDescent="0.3">
      <c r="A31" s="3" t="s">
        <v>67</v>
      </c>
      <c r="B31" s="3" t="s">
        <v>31</v>
      </c>
      <c r="C31" s="3" t="s">
        <v>33</v>
      </c>
      <c r="D31" s="3" t="s">
        <v>34</v>
      </c>
      <c r="E31" s="3">
        <v>2</v>
      </c>
      <c r="F31" s="3" t="s">
        <v>35</v>
      </c>
      <c r="G31" s="4" t="str" cm="1">
        <f t="array" ref="G31:G32">_xlfn._xlws.FILTER(A31:A36, C31:C36="Mumbai")</f>
        <v>O102</v>
      </c>
      <c r="H31" t="str" cm="1">
        <f t="array" ref="H31:H33">_xlfn._xlws.FILTER(B31:B36, D31:D36="Laptop")</f>
        <v>Aarav</v>
      </c>
    </row>
    <row r="32" spans="1:26" ht="30.45" customHeight="1" x14ac:dyDescent="0.3">
      <c r="A32" s="3" t="s">
        <v>68</v>
      </c>
      <c r="B32" s="3" t="s">
        <v>37</v>
      </c>
      <c r="C32" s="3" t="s">
        <v>39</v>
      </c>
      <c r="D32" s="3" t="s">
        <v>40</v>
      </c>
      <c r="E32" s="3">
        <v>3</v>
      </c>
      <c r="F32" s="3" t="s">
        <v>41</v>
      </c>
      <c r="G32" s="4" t="str">
        <v>O105</v>
      </c>
      <c r="H32" t="str">
        <v>Sara</v>
      </c>
    </row>
    <row r="33" spans="1:8" ht="30.45" customHeight="1" x14ac:dyDescent="0.3">
      <c r="A33" s="3" t="s">
        <v>69</v>
      </c>
      <c r="B33" s="3" t="s">
        <v>42</v>
      </c>
      <c r="C33" s="3" t="s">
        <v>43</v>
      </c>
      <c r="D33" s="3" t="s">
        <v>70</v>
      </c>
      <c r="E33" s="3">
        <v>5</v>
      </c>
      <c r="F33" s="3" t="s">
        <v>35</v>
      </c>
      <c r="G33" s="4"/>
      <c r="H33" t="str">
        <v>Adil</v>
      </c>
    </row>
    <row r="34" spans="1:8" ht="30.45" customHeight="1" x14ac:dyDescent="0.3">
      <c r="A34" s="3" t="s">
        <v>71</v>
      </c>
      <c r="B34" s="3" t="s">
        <v>46</v>
      </c>
      <c r="C34" s="3" t="s">
        <v>33</v>
      </c>
      <c r="D34" s="3" t="s">
        <v>34</v>
      </c>
      <c r="E34" s="3">
        <v>1</v>
      </c>
      <c r="F34" s="3" t="s">
        <v>35</v>
      </c>
      <c r="G34" s="4"/>
    </row>
    <row r="35" spans="1:8" x14ac:dyDescent="0.3">
      <c r="A35" s="3" t="s">
        <v>72</v>
      </c>
      <c r="B35" s="3" t="s">
        <v>48</v>
      </c>
      <c r="C35" s="3" t="s">
        <v>39</v>
      </c>
      <c r="D35" s="3" t="s">
        <v>40</v>
      </c>
      <c r="E35" s="3">
        <v>6</v>
      </c>
      <c r="F35" s="3" t="s">
        <v>41</v>
      </c>
      <c r="G35" s="4"/>
    </row>
    <row r="36" spans="1:8" x14ac:dyDescent="0.3">
      <c r="A36" s="3" t="s">
        <v>73</v>
      </c>
      <c r="B36" s="3" t="s">
        <v>50</v>
      </c>
      <c r="C36" s="3" t="s">
        <v>43</v>
      </c>
      <c r="D36" s="3" t="s">
        <v>34</v>
      </c>
      <c r="E36" s="3">
        <v>4</v>
      </c>
      <c r="F36" s="3" t="s">
        <v>35</v>
      </c>
      <c r="G36" s="4"/>
    </row>
    <row r="40" spans="1:8" ht="28.8" x14ac:dyDescent="0.3">
      <c r="A40" s="5" t="s">
        <v>74</v>
      </c>
      <c r="B40" s="6" t="s">
        <v>75</v>
      </c>
      <c r="F40" s="5" t="s">
        <v>76</v>
      </c>
    </row>
    <row r="41" spans="1:8" ht="28.8" x14ac:dyDescent="0.3">
      <c r="A41" s="5" t="s">
        <v>77</v>
      </c>
      <c r="B41" s="6" t="s">
        <v>78</v>
      </c>
      <c r="F41" s="5" t="s">
        <v>76</v>
      </c>
    </row>
    <row r="42" spans="1:8" ht="28.8" x14ac:dyDescent="0.3">
      <c r="A42" s="5" t="s">
        <v>79</v>
      </c>
      <c r="B42" s="6" t="s">
        <v>80</v>
      </c>
      <c r="C42" t="s">
        <v>290</v>
      </c>
      <c r="F42" s="5" t="s">
        <v>76</v>
      </c>
    </row>
  </sheetData>
  <mergeCells count="4">
    <mergeCell ref="A4:D4"/>
    <mergeCell ref="A2:H2"/>
    <mergeCell ref="A9:D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"/>
  <sheetViews>
    <sheetView topLeftCell="C26" zoomScale="76" zoomScaleNormal="85" workbookViewId="0">
      <selection activeCell="G35" sqref="G35"/>
    </sheetView>
  </sheetViews>
  <sheetFormatPr defaultRowHeight="14.4" x14ac:dyDescent="0.3"/>
  <cols>
    <col min="1" max="1" width="24" customWidth="1"/>
    <col min="2" max="2" width="42" customWidth="1"/>
    <col min="3" max="3" width="48" customWidth="1"/>
    <col min="4" max="4" width="55" customWidth="1"/>
    <col min="5" max="5" width="16" customWidth="1"/>
    <col min="6" max="6" width="26" customWidth="1"/>
    <col min="7" max="10" width="18" customWidth="1"/>
    <col min="11" max="11" width="18.44140625" customWidth="1"/>
    <col min="12" max="12" width="20" customWidth="1"/>
    <col min="13" max="13" width="24.88671875" customWidth="1"/>
  </cols>
  <sheetData>
    <row r="1" spans="1:13" x14ac:dyDescent="0.3">
      <c r="A1" s="26" t="s">
        <v>81</v>
      </c>
      <c r="B1" s="24"/>
      <c r="C1" s="24"/>
      <c r="D1" s="24"/>
      <c r="E1" s="24"/>
      <c r="F1" s="24"/>
      <c r="G1" s="24"/>
      <c r="H1" s="24"/>
    </row>
    <row r="2" spans="1:13" x14ac:dyDescent="0.3">
      <c r="A2" s="25" t="s">
        <v>82</v>
      </c>
      <c r="B2" s="24"/>
      <c r="C2" s="24"/>
      <c r="D2" s="24"/>
      <c r="E2" s="24"/>
      <c r="F2" s="24"/>
      <c r="G2" s="24"/>
      <c r="H2" s="24"/>
    </row>
    <row r="3" spans="1:13" x14ac:dyDescent="0.3">
      <c r="A3" s="1" t="s">
        <v>2</v>
      </c>
      <c r="B3" s="1" t="s">
        <v>3</v>
      </c>
    </row>
    <row r="4" spans="1:13" x14ac:dyDescent="0.3">
      <c r="A4" s="23" t="s">
        <v>4</v>
      </c>
      <c r="B4" s="24"/>
      <c r="C4" s="24"/>
      <c r="D4" s="24"/>
    </row>
    <row r="5" spans="1:13" x14ac:dyDescent="0.3">
      <c r="A5" s="2" t="s">
        <v>83</v>
      </c>
      <c r="B5" s="2" t="s">
        <v>84</v>
      </c>
      <c r="C5" s="2" t="s">
        <v>7</v>
      </c>
      <c r="D5" s="2" t="s">
        <v>8</v>
      </c>
    </row>
    <row r="6" spans="1:13" x14ac:dyDescent="0.3">
      <c r="A6" s="10" t="s">
        <v>85</v>
      </c>
      <c r="B6" s="10" t="s">
        <v>86</v>
      </c>
      <c r="C6" s="10">
        <f>SUMIF(B6:B15,"IT",E6:E15)</f>
        <v>55000</v>
      </c>
      <c r="D6" s="10" t="s">
        <v>87</v>
      </c>
    </row>
    <row r="7" spans="1:13" x14ac:dyDescent="0.3">
      <c r="A7" s="12" t="s">
        <v>88</v>
      </c>
      <c r="B7" s="12" t="s">
        <v>89</v>
      </c>
      <c r="C7" s="12">
        <f>SUMIFS(E6:E15,B6:B15,"IT",C6:C15,"Pune")</f>
        <v>55000</v>
      </c>
      <c r="D7" s="12" t="s">
        <v>90</v>
      </c>
    </row>
    <row r="8" spans="1:13" x14ac:dyDescent="0.3">
      <c r="A8" s="10" t="s">
        <v>91</v>
      </c>
      <c r="B8" s="10" t="s">
        <v>92</v>
      </c>
      <c r="C8" s="10">
        <f>COUNTIF(B6:B15,"IT")</f>
        <v>1</v>
      </c>
      <c r="D8" s="10" t="s">
        <v>93</v>
      </c>
    </row>
    <row r="9" spans="1:13" x14ac:dyDescent="0.3">
      <c r="A9" s="12" t="s">
        <v>94</v>
      </c>
      <c r="B9" s="12" t="s">
        <v>95</v>
      </c>
      <c r="C9" s="12">
        <f>COUNTIFS(B6:B15,"IT",C6:C15,"Pune")</f>
        <v>1</v>
      </c>
      <c r="D9" s="12" t="s">
        <v>96</v>
      </c>
    </row>
    <row r="10" spans="1:13" x14ac:dyDescent="0.3">
      <c r="A10" s="10" t="s">
        <v>97</v>
      </c>
      <c r="B10" s="10" t="s">
        <v>98</v>
      </c>
      <c r="C10" s="10" t="e">
        <f>AVERAGEIF(B6:B15,"Finance",E6:E15)</f>
        <v>#DIV/0!</v>
      </c>
      <c r="D10" s="10" t="s">
        <v>99</v>
      </c>
    </row>
    <row r="11" spans="1:13" x14ac:dyDescent="0.3">
      <c r="A11" s="12" t="s">
        <v>100</v>
      </c>
      <c r="B11" s="12" t="s">
        <v>101</v>
      </c>
      <c r="C11" s="12">
        <f>AVERAGEIFS(F6:F15,B6:B15,"IT",C6:C15,"Pune")</f>
        <v>92</v>
      </c>
      <c r="D11" s="12" t="s">
        <v>102</v>
      </c>
    </row>
    <row r="12" spans="1:13" x14ac:dyDescent="0.3">
      <c r="A12" s="20" t="s">
        <v>21</v>
      </c>
      <c r="B12" s="21"/>
      <c r="C12" s="21"/>
      <c r="D12" s="22"/>
    </row>
    <row r="13" spans="1:13" ht="72" x14ac:dyDescent="0.3">
      <c r="A13" s="2" t="s">
        <v>103</v>
      </c>
      <c r="B13" s="2" t="s">
        <v>23</v>
      </c>
      <c r="C13" s="2" t="s">
        <v>24</v>
      </c>
      <c r="D13" s="2" t="s">
        <v>104</v>
      </c>
      <c r="E13" s="2" t="s">
        <v>105</v>
      </c>
      <c r="F13" s="2" t="s">
        <v>106</v>
      </c>
      <c r="G13" s="2" t="s">
        <v>107</v>
      </c>
      <c r="H13" s="19" t="s">
        <v>282</v>
      </c>
      <c r="I13" s="19" t="s">
        <v>283</v>
      </c>
      <c r="J13" s="19" t="s">
        <v>284</v>
      </c>
      <c r="K13" s="19" t="s">
        <v>285</v>
      </c>
      <c r="L13" s="19" t="s">
        <v>286</v>
      </c>
      <c r="M13" s="19" t="s">
        <v>287</v>
      </c>
    </row>
    <row r="14" spans="1:13" x14ac:dyDescent="0.3">
      <c r="A14" s="3" t="s">
        <v>31</v>
      </c>
      <c r="B14" s="3" t="s">
        <v>32</v>
      </c>
      <c r="C14" s="3" t="s">
        <v>33</v>
      </c>
      <c r="D14" s="3" t="s">
        <v>108</v>
      </c>
      <c r="E14" s="7">
        <v>55000</v>
      </c>
      <c r="F14" s="3">
        <v>92</v>
      </c>
      <c r="G14" s="4">
        <f>E14*10%</f>
        <v>5500</v>
      </c>
      <c r="H14">
        <f>SUMIF(B14:B23, "IT", E14:E23)</f>
        <v>238000</v>
      </c>
      <c r="I14">
        <f>SUMIFS(E14:E23, B14:B23, "IT", C14:C23, "Pune")</f>
        <v>128000</v>
      </c>
      <c r="J14">
        <f>COUNTIF(B14:B23, "IT")</f>
        <v>4</v>
      </c>
      <c r="K14">
        <f>COUNTIFS(C14:C23, "Mumbai", E14:E23, "&gt;50000")</f>
        <v>1</v>
      </c>
      <c r="L14">
        <f>AVERAGEIF(B14:B23,"Finance",E14:E23)</f>
        <v>69500</v>
      </c>
      <c r="M14">
        <f>AVERAGEIFS(F14:F23, B14:B23, "IT", C14:C23, "Pune")</f>
        <v>94</v>
      </c>
    </row>
    <row r="15" spans="1:13" x14ac:dyDescent="0.3">
      <c r="A15" s="3" t="s">
        <v>37</v>
      </c>
      <c r="B15" s="3" t="s">
        <v>38</v>
      </c>
      <c r="C15" s="3" t="s">
        <v>39</v>
      </c>
      <c r="D15" s="3" t="s">
        <v>109</v>
      </c>
      <c r="E15" s="7">
        <v>42000</v>
      </c>
      <c r="F15" s="3">
        <v>85</v>
      </c>
      <c r="G15" s="4"/>
    </row>
    <row r="16" spans="1:13" x14ac:dyDescent="0.3">
      <c r="A16" s="3" t="s">
        <v>42</v>
      </c>
      <c r="B16" s="3" t="s">
        <v>32</v>
      </c>
      <c r="C16" s="3" t="s">
        <v>43</v>
      </c>
      <c r="D16" s="3" t="s">
        <v>108</v>
      </c>
      <c r="E16" s="7">
        <v>62000</v>
      </c>
      <c r="F16" s="3">
        <v>78</v>
      </c>
      <c r="G16" s="4"/>
    </row>
    <row r="17" spans="1:7" x14ac:dyDescent="0.3">
      <c r="A17" s="3" t="s">
        <v>46</v>
      </c>
      <c r="B17" s="3" t="s">
        <v>47</v>
      </c>
      <c r="C17" s="3" t="s">
        <v>33</v>
      </c>
      <c r="D17" s="3" t="s">
        <v>109</v>
      </c>
      <c r="E17" s="7">
        <v>71000</v>
      </c>
      <c r="F17" s="3">
        <v>91</v>
      </c>
      <c r="G17" s="4"/>
    </row>
    <row r="18" spans="1:7" x14ac:dyDescent="0.3">
      <c r="A18" s="3" t="s">
        <v>48</v>
      </c>
      <c r="B18" s="3" t="s">
        <v>32</v>
      </c>
      <c r="C18" s="3" t="s">
        <v>39</v>
      </c>
      <c r="D18" s="3" t="s">
        <v>109</v>
      </c>
      <c r="E18" s="7">
        <v>48000</v>
      </c>
      <c r="F18" s="3">
        <v>88</v>
      </c>
      <c r="G18" s="4"/>
    </row>
    <row r="19" spans="1:7" x14ac:dyDescent="0.3">
      <c r="A19" s="3" t="s">
        <v>50</v>
      </c>
      <c r="B19" s="3" t="s">
        <v>51</v>
      </c>
      <c r="C19" s="3" t="s">
        <v>43</v>
      </c>
      <c r="D19" s="3" t="s">
        <v>108</v>
      </c>
      <c r="E19" s="7">
        <v>39000</v>
      </c>
      <c r="F19" s="3">
        <v>72</v>
      </c>
      <c r="G19" s="4"/>
    </row>
    <row r="20" spans="1:7" x14ac:dyDescent="0.3">
      <c r="A20" s="3" t="s">
        <v>52</v>
      </c>
      <c r="B20" s="3" t="s">
        <v>47</v>
      </c>
      <c r="C20" s="3" t="s">
        <v>39</v>
      </c>
      <c r="D20" s="3" t="s">
        <v>109</v>
      </c>
      <c r="E20" s="7">
        <v>68000</v>
      </c>
      <c r="F20" s="3">
        <v>95</v>
      </c>
      <c r="G20" s="4"/>
    </row>
    <row r="21" spans="1:7" x14ac:dyDescent="0.3">
      <c r="A21" s="3" t="s">
        <v>54</v>
      </c>
      <c r="B21" s="3" t="s">
        <v>51</v>
      </c>
      <c r="C21" s="3" t="s">
        <v>33</v>
      </c>
      <c r="D21" s="3" t="s">
        <v>108</v>
      </c>
      <c r="E21" s="7">
        <v>45000</v>
      </c>
      <c r="F21" s="3">
        <v>81</v>
      </c>
      <c r="G21" s="4"/>
    </row>
    <row r="22" spans="1:7" x14ac:dyDescent="0.3">
      <c r="A22" s="3" t="s">
        <v>110</v>
      </c>
      <c r="B22" s="3" t="s">
        <v>38</v>
      </c>
      <c r="C22" s="3" t="s">
        <v>33</v>
      </c>
      <c r="D22" s="3" t="s">
        <v>109</v>
      </c>
      <c r="E22" s="7">
        <v>51000</v>
      </c>
      <c r="F22" s="3">
        <v>89</v>
      </c>
      <c r="G22" s="4"/>
    </row>
    <row r="23" spans="1:7" x14ac:dyDescent="0.3">
      <c r="A23" s="3" t="s">
        <v>111</v>
      </c>
      <c r="B23" s="3" t="s">
        <v>32</v>
      </c>
      <c r="C23" s="3" t="s">
        <v>33</v>
      </c>
      <c r="D23" s="3" t="s">
        <v>108</v>
      </c>
      <c r="E23" s="7">
        <v>73000</v>
      </c>
      <c r="F23" s="3">
        <v>96</v>
      </c>
      <c r="G23" s="4"/>
    </row>
    <row r="25" spans="1:7" x14ac:dyDescent="0.3">
      <c r="B25" s="18" t="s">
        <v>281</v>
      </c>
    </row>
    <row r="26" spans="1:7" ht="28.8" x14ac:dyDescent="0.3">
      <c r="A26" s="5" t="s">
        <v>55</v>
      </c>
      <c r="B26" s="6" t="s">
        <v>112</v>
      </c>
      <c r="F26" s="5"/>
    </row>
    <row r="27" spans="1:7" x14ac:dyDescent="0.3">
      <c r="A27" s="5" t="s">
        <v>58</v>
      </c>
      <c r="B27" s="6" t="s">
        <v>113</v>
      </c>
      <c r="F27" s="5"/>
    </row>
    <row r="28" spans="1:7" ht="28.8" x14ac:dyDescent="0.3">
      <c r="A28" s="5" t="s">
        <v>60</v>
      </c>
      <c r="B28" s="6" t="s">
        <v>114</v>
      </c>
      <c r="F28" s="5"/>
    </row>
    <row r="29" spans="1:7" x14ac:dyDescent="0.3">
      <c r="A29" s="5" t="s">
        <v>62</v>
      </c>
      <c r="B29" s="6" t="s">
        <v>115</v>
      </c>
      <c r="F29" s="5"/>
    </row>
    <row r="30" spans="1:7" ht="28.8" x14ac:dyDescent="0.3">
      <c r="A30" s="5" t="s">
        <v>74</v>
      </c>
      <c r="B30" s="6" t="s">
        <v>116</v>
      </c>
      <c r="F30" s="5"/>
    </row>
    <row r="31" spans="1:7" ht="28.8" x14ac:dyDescent="0.3">
      <c r="A31" s="5" t="s">
        <v>77</v>
      </c>
      <c r="B31" s="6" t="s">
        <v>117</v>
      </c>
      <c r="F31" s="5"/>
    </row>
    <row r="32" spans="1:7" ht="28.8" x14ac:dyDescent="0.3">
      <c r="A32" s="5" t="s">
        <v>79</v>
      </c>
      <c r="B32" s="6" t="s">
        <v>118</v>
      </c>
      <c r="F32" s="5"/>
    </row>
    <row r="34" spans="1:8" x14ac:dyDescent="0.3">
      <c r="A34" s="2" t="s">
        <v>119</v>
      </c>
      <c r="B34" s="2" t="s">
        <v>120</v>
      </c>
      <c r="C34" s="2" t="s">
        <v>25</v>
      </c>
      <c r="D34" s="2" t="s">
        <v>26</v>
      </c>
      <c r="E34" s="2" t="s">
        <v>121</v>
      </c>
      <c r="F34" s="2" t="s">
        <v>107</v>
      </c>
      <c r="G34" s="19" t="s">
        <v>288</v>
      </c>
    </row>
    <row r="35" spans="1:8" x14ac:dyDescent="0.3">
      <c r="A35" s="3" t="s">
        <v>122</v>
      </c>
      <c r="B35" s="3" t="s">
        <v>32</v>
      </c>
      <c r="C35" s="3" t="s">
        <v>34</v>
      </c>
      <c r="D35" s="3">
        <v>12</v>
      </c>
      <c r="E35" s="3">
        <v>55000</v>
      </c>
      <c r="F35" s="4"/>
      <c r="G35">
        <f>SUMIF(B35:B42, "IT", E35:E42)</f>
        <v>82900</v>
      </c>
      <c r="H35" t="s">
        <v>289</v>
      </c>
    </row>
    <row r="36" spans="1:8" x14ac:dyDescent="0.3">
      <c r="A36" s="3" t="s">
        <v>123</v>
      </c>
      <c r="B36" s="3" t="s">
        <v>32</v>
      </c>
      <c r="C36" s="3" t="s">
        <v>40</v>
      </c>
      <c r="D36" s="3">
        <v>8</v>
      </c>
      <c r="E36" s="3">
        <v>18000</v>
      </c>
      <c r="F36" s="4"/>
    </row>
    <row r="37" spans="1:8" x14ac:dyDescent="0.3">
      <c r="A37" s="3" t="s">
        <v>124</v>
      </c>
      <c r="B37" s="3" t="s">
        <v>32</v>
      </c>
      <c r="C37" s="3" t="s">
        <v>44</v>
      </c>
      <c r="D37" s="3">
        <v>20</v>
      </c>
      <c r="E37" s="3">
        <v>2500</v>
      </c>
      <c r="F37" s="4"/>
    </row>
    <row r="38" spans="1:8" x14ac:dyDescent="0.3">
      <c r="A38" s="3" t="s">
        <v>125</v>
      </c>
      <c r="B38" s="3" t="s">
        <v>126</v>
      </c>
      <c r="C38" s="3" t="s">
        <v>127</v>
      </c>
      <c r="D38" s="3">
        <v>5</v>
      </c>
      <c r="E38" s="3">
        <v>12000</v>
      </c>
      <c r="F38" s="4"/>
    </row>
    <row r="39" spans="1:8" x14ac:dyDescent="0.3">
      <c r="A39" s="3" t="s">
        <v>128</v>
      </c>
      <c r="B39" s="3" t="s">
        <v>32</v>
      </c>
      <c r="C39" s="3" t="s">
        <v>129</v>
      </c>
      <c r="D39" s="3">
        <v>25</v>
      </c>
      <c r="E39" s="3">
        <v>900</v>
      </c>
      <c r="F39" s="4"/>
    </row>
    <row r="40" spans="1:8" x14ac:dyDescent="0.3">
      <c r="A40" s="3" t="s">
        <v>130</v>
      </c>
      <c r="B40" s="3" t="s">
        <v>131</v>
      </c>
      <c r="C40" s="3" t="s">
        <v>132</v>
      </c>
      <c r="D40" s="3">
        <v>10</v>
      </c>
      <c r="E40" s="3">
        <v>4500</v>
      </c>
      <c r="F40" s="4"/>
    </row>
    <row r="41" spans="1:8" x14ac:dyDescent="0.3">
      <c r="A41" s="3" t="s">
        <v>133</v>
      </c>
      <c r="B41" s="3" t="s">
        <v>32</v>
      </c>
      <c r="C41" s="3" t="s">
        <v>70</v>
      </c>
      <c r="D41" s="3">
        <v>15</v>
      </c>
      <c r="E41" s="3">
        <v>6500</v>
      </c>
      <c r="F41" s="4"/>
    </row>
    <row r="42" spans="1:8" x14ac:dyDescent="0.3">
      <c r="A42" s="3" t="s">
        <v>134</v>
      </c>
      <c r="B42" s="3" t="s">
        <v>126</v>
      </c>
      <c r="C42" s="3" t="s">
        <v>135</v>
      </c>
      <c r="D42" s="3">
        <v>3</v>
      </c>
      <c r="E42" s="3">
        <v>38000</v>
      </c>
      <c r="F42" s="4"/>
    </row>
    <row r="43" spans="1:8" ht="30.45" customHeight="1" x14ac:dyDescent="0.3"/>
    <row r="44" spans="1:8" ht="30.45" customHeight="1" x14ac:dyDescent="0.3"/>
    <row r="45" spans="1:8" ht="30.45" customHeight="1" x14ac:dyDescent="0.3"/>
    <row r="46" spans="1:8" ht="30.45" customHeight="1" x14ac:dyDescent="0.3"/>
    <row r="47" spans="1:8" ht="30.45" customHeight="1" x14ac:dyDescent="0.3"/>
    <row r="51" spans="1:6" x14ac:dyDescent="0.3">
      <c r="A51" s="5" t="s">
        <v>136</v>
      </c>
      <c r="B51" s="6" t="s">
        <v>137</v>
      </c>
      <c r="F51" s="8"/>
    </row>
    <row r="52" spans="1:6" ht="28.8" x14ac:dyDescent="0.3">
      <c r="A52" s="5" t="s">
        <v>138</v>
      </c>
      <c r="B52" s="6" t="s">
        <v>139</v>
      </c>
      <c r="F52" s="8"/>
    </row>
    <row r="53" spans="1:6" x14ac:dyDescent="0.3">
      <c r="A53" s="5" t="s">
        <v>140</v>
      </c>
      <c r="B53" s="6" t="s">
        <v>141</v>
      </c>
      <c r="F53" s="8"/>
    </row>
    <row r="54" spans="1:6" ht="28.8" x14ac:dyDescent="0.3">
      <c r="A54" s="5" t="s">
        <v>142</v>
      </c>
      <c r="B54" s="6" t="s">
        <v>143</v>
      </c>
      <c r="F54" s="8"/>
    </row>
    <row r="55" spans="1:6" x14ac:dyDescent="0.3">
      <c r="A55" s="5" t="s">
        <v>144</v>
      </c>
      <c r="B55" s="6" t="s">
        <v>145</v>
      </c>
      <c r="F55" s="8"/>
    </row>
  </sheetData>
  <mergeCells count="4">
    <mergeCell ref="A12:D12"/>
    <mergeCell ref="A4:D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topLeftCell="B17" zoomScale="82" workbookViewId="0">
      <selection activeCell="G61" sqref="G61"/>
    </sheetView>
  </sheetViews>
  <sheetFormatPr defaultRowHeight="14.4" x14ac:dyDescent="0.3"/>
  <cols>
    <col min="1" max="1" width="24" customWidth="1"/>
    <col min="2" max="2" width="42" customWidth="1"/>
    <col min="3" max="3" width="48" customWidth="1"/>
    <col min="4" max="4" width="55" customWidth="1"/>
    <col min="5" max="5" width="16" customWidth="1"/>
    <col min="6" max="6" width="26" customWidth="1"/>
    <col min="7" max="10" width="18" customWidth="1"/>
  </cols>
  <sheetData>
    <row r="1" spans="1:9" x14ac:dyDescent="0.3">
      <c r="A1" s="26" t="s">
        <v>146</v>
      </c>
      <c r="B1" s="24"/>
      <c r="C1" s="24"/>
      <c r="D1" s="24"/>
      <c r="E1" s="24"/>
      <c r="F1" s="24"/>
      <c r="G1" s="24"/>
      <c r="H1" s="24"/>
    </row>
    <row r="2" spans="1:9" x14ac:dyDescent="0.3">
      <c r="A2" s="25" t="s">
        <v>147</v>
      </c>
      <c r="B2" s="24"/>
      <c r="C2" s="24"/>
      <c r="D2" s="24"/>
      <c r="E2" s="24"/>
      <c r="F2" s="24"/>
      <c r="G2" s="24"/>
      <c r="H2" s="24"/>
    </row>
    <row r="3" spans="1:9" x14ac:dyDescent="0.3">
      <c r="A3" s="1" t="s">
        <v>2</v>
      </c>
      <c r="B3" s="1" t="s">
        <v>3</v>
      </c>
    </row>
    <row r="4" spans="1:9" x14ac:dyDescent="0.3">
      <c r="A4" s="23" t="s">
        <v>4</v>
      </c>
      <c r="B4" s="24"/>
      <c r="C4" s="24"/>
      <c r="D4" s="24"/>
    </row>
    <row r="5" spans="1:9" x14ac:dyDescent="0.3">
      <c r="A5" s="2" t="s">
        <v>83</v>
      </c>
      <c r="B5" s="2" t="s">
        <v>84</v>
      </c>
      <c r="C5" s="2" t="s">
        <v>7</v>
      </c>
      <c r="D5" s="2" t="s">
        <v>8</v>
      </c>
    </row>
    <row r="6" spans="1:9" ht="28.8" x14ac:dyDescent="0.3">
      <c r="A6" s="10" t="s">
        <v>148</v>
      </c>
      <c r="B6" s="10" t="s">
        <v>149</v>
      </c>
      <c r="C6" s="10" t="str">
        <f>IFERROR(A30/B30,"Not Available")</f>
        <v>Not Available</v>
      </c>
      <c r="D6" s="10" t="s">
        <v>150</v>
      </c>
    </row>
    <row r="7" spans="1:9" x14ac:dyDescent="0.3">
      <c r="A7" s="12" t="s">
        <v>151</v>
      </c>
      <c r="B7" s="12" t="s">
        <v>152</v>
      </c>
      <c r="C7" s="12" t="s">
        <v>280</v>
      </c>
      <c r="D7" s="12" t="s">
        <v>153</v>
      </c>
    </row>
    <row r="8" spans="1:9" x14ac:dyDescent="0.3">
      <c r="A8" s="10" t="s">
        <v>154</v>
      </c>
      <c r="B8" s="10" t="s">
        <v>155</v>
      </c>
      <c r="C8" s="10" t="e">
        <f ca="1">_xludf.TEXTJOIN(" ",TRUE,A6:C6)</f>
        <v>#NAME?</v>
      </c>
      <c r="D8" s="10" t="s">
        <v>156</v>
      </c>
    </row>
    <row r="9" spans="1:9" x14ac:dyDescent="0.3">
      <c r="A9" s="12" t="s">
        <v>157</v>
      </c>
      <c r="B9" s="12" t="s">
        <v>158</v>
      </c>
      <c r="C9" s="12" t="str">
        <f>CONCATENATE(A6," ",B6," ",C6)</f>
        <v>IFERROR IFERROR(value, value_if_error) Not Available</v>
      </c>
      <c r="D9" s="12" t="s">
        <v>159</v>
      </c>
    </row>
    <row r="10" spans="1:9" x14ac:dyDescent="0.3">
      <c r="A10" s="10" t="s">
        <v>160</v>
      </c>
      <c r="B10" s="10" t="s">
        <v>161</v>
      </c>
      <c r="C10" s="10" t="str">
        <f>TRANSPOSE(A6:A10)</f>
        <v>TRANSPOSE</v>
      </c>
      <c r="D10" s="10" t="s">
        <v>162</v>
      </c>
    </row>
    <row r="11" spans="1:9" x14ac:dyDescent="0.3">
      <c r="A11" s="20" t="s">
        <v>21</v>
      </c>
      <c r="B11" s="21"/>
      <c r="C11" s="21"/>
      <c r="D11" s="22"/>
    </row>
    <row r="12" spans="1:9" ht="30.45" customHeight="1" x14ac:dyDescent="0.3"/>
    <row r="13" spans="1:9" ht="30.45" customHeight="1" x14ac:dyDescent="0.3">
      <c r="A13" s="2" t="s">
        <v>163</v>
      </c>
      <c r="B13" s="2" t="s">
        <v>164</v>
      </c>
      <c r="C13" s="2" t="s">
        <v>165</v>
      </c>
      <c r="D13" s="2" t="s">
        <v>166</v>
      </c>
      <c r="E13" s="2" t="s">
        <v>167</v>
      </c>
      <c r="F13" s="2" t="s">
        <v>168</v>
      </c>
      <c r="G13" s="2" t="s">
        <v>169</v>
      </c>
      <c r="H13" s="19" t="s">
        <v>291</v>
      </c>
      <c r="I13" s="19" t="s">
        <v>292</v>
      </c>
    </row>
    <row r="14" spans="1:9" ht="30.45" customHeight="1" x14ac:dyDescent="0.3">
      <c r="A14" s="3" t="s">
        <v>170</v>
      </c>
      <c r="B14" s="3" t="s">
        <v>171</v>
      </c>
      <c r="C14" s="3" t="s">
        <v>172</v>
      </c>
      <c r="D14" s="3" t="s">
        <v>173</v>
      </c>
      <c r="E14" s="3" t="s">
        <v>174</v>
      </c>
      <c r="F14" s="3">
        <v>1</v>
      </c>
      <c r="G14" s="4" t="str">
        <f>CONCATENATE(A14, " ", B14, " ", C14)</f>
        <v>Barkat Amir Nadaf</v>
      </c>
      <c r="H14" t="str">
        <f>_xlfn.TEXTJOIN(" ", TRUE, A14:C14)</f>
        <v>Barkat Amir Nadaf</v>
      </c>
      <c r="I14" t="str">
        <f>_xlfn.CONCAT(A14, " ", B14, " ", C14)</f>
        <v>Barkat Amir Nadaf</v>
      </c>
    </row>
    <row r="15" spans="1:9" x14ac:dyDescent="0.3">
      <c r="A15" s="3" t="s">
        <v>175</v>
      </c>
      <c r="B15" s="3" t="s">
        <v>176</v>
      </c>
      <c r="C15" s="3" t="s">
        <v>177</v>
      </c>
      <c r="D15" s="3" t="s">
        <v>178</v>
      </c>
      <c r="E15" s="3" t="s">
        <v>174</v>
      </c>
      <c r="F15" s="3">
        <v>2</v>
      </c>
      <c r="G15" s="4" t="str">
        <f t="shared" ref="G15:G18" si="0">CONCATENATE(A15, " ", B15, " ", C15)</f>
        <v>Ayesha Khan Shaikh</v>
      </c>
    </row>
    <row r="16" spans="1:9" x14ac:dyDescent="0.3">
      <c r="A16" s="3" t="s">
        <v>179</v>
      </c>
      <c r="B16" s="3" t="s">
        <v>180</v>
      </c>
      <c r="C16" s="3" t="s">
        <v>181</v>
      </c>
      <c r="D16" s="3" t="s">
        <v>173</v>
      </c>
      <c r="E16" s="3" t="s">
        <v>174</v>
      </c>
      <c r="F16" s="3">
        <v>3</v>
      </c>
      <c r="G16" s="4" t="str">
        <f t="shared" si="0"/>
        <v>Rahul Patil Jadhav</v>
      </c>
    </row>
    <row r="17" spans="1:7" x14ac:dyDescent="0.3">
      <c r="A17" s="3" t="s">
        <v>46</v>
      </c>
      <c r="B17" s="3" t="s">
        <v>182</v>
      </c>
      <c r="C17" s="3" t="s">
        <v>183</v>
      </c>
      <c r="D17" s="3" t="s">
        <v>178</v>
      </c>
      <c r="E17" s="3" t="s">
        <v>174</v>
      </c>
      <c r="F17" s="3">
        <v>1</v>
      </c>
      <c r="G17" s="4" t="str">
        <f t="shared" si="0"/>
        <v>Sara Ali Qureshi</v>
      </c>
    </row>
    <row r="18" spans="1:7" x14ac:dyDescent="0.3">
      <c r="A18" s="3" t="s">
        <v>54</v>
      </c>
      <c r="B18" s="3" t="s">
        <v>176</v>
      </c>
      <c r="C18" s="3" t="s">
        <v>184</v>
      </c>
      <c r="D18" s="3" t="s">
        <v>173</v>
      </c>
      <c r="E18" s="3" t="s">
        <v>174</v>
      </c>
      <c r="F18" s="3">
        <v>2</v>
      </c>
      <c r="G18" s="4" t="str">
        <f t="shared" si="0"/>
        <v>Omar Khan Ansari</v>
      </c>
    </row>
    <row r="20" spans="1:7" ht="28.8" x14ac:dyDescent="0.3">
      <c r="A20" s="5" t="s">
        <v>55</v>
      </c>
      <c r="B20" s="6" t="s">
        <v>185</v>
      </c>
      <c r="F20" s="5" t="s">
        <v>186</v>
      </c>
    </row>
    <row r="21" spans="1:7" x14ac:dyDescent="0.3">
      <c r="A21" s="5" t="s">
        <v>58</v>
      </c>
      <c r="B21" s="6" t="s">
        <v>187</v>
      </c>
      <c r="F21" s="5" t="s">
        <v>188</v>
      </c>
    </row>
    <row r="22" spans="1:7" ht="28.8" x14ac:dyDescent="0.3">
      <c r="A22" s="5" t="s">
        <v>60</v>
      </c>
      <c r="B22" s="6" t="s">
        <v>189</v>
      </c>
      <c r="F22" s="5" t="s">
        <v>190</v>
      </c>
    </row>
    <row r="23" spans="1:7" x14ac:dyDescent="0.3">
      <c r="G23" s="4"/>
    </row>
    <row r="24" spans="1:7" x14ac:dyDescent="0.3">
      <c r="G24" s="4"/>
    </row>
    <row r="25" spans="1:7" x14ac:dyDescent="0.3">
      <c r="G25" s="4"/>
    </row>
    <row r="26" spans="1:7" x14ac:dyDescent="0.3">
      <c r="G26" s="4"/>
    </row>
    <row r="27" spans="1:7" x14ac:dyDescent="0.3">
      <c r="G27" s="4"/>
    </row>
    <row r="30" spans="1:7" x14ac:dyDescent="0.3">
      <c r="G30" s="4"/>
    </row>
    <row r="31" spans="1:7" x14ac:dyDescent="0.3">
      <c r="G31" s="4"/>
    </row>
    <row r="32" spans="1:7" x14ac:dyDescent="0.3">
      <c r="G32" s="4"/>
    </row>
    <row r="33" spans="1:7" x14ac:dyDescent="0.3">
      <c r="G33" s="4"/>
    </row>
    <row r="34" spans="1:7" x14ac:dyDescent="0.3">
      <c r="G34" s="4"/>
    </row>
    <row r="36" spans="1:7" ht="30.45" customHeight="1" x14ac:dyDescent="0.3"/>
    <row r="37" spans="1:7" x14ac:dyDescent="0.3">
      <c r="A37" s="2" t="s">
        <v>191</v>
      </c>
      <c r="B37" s="2" t="s">
        <v>192</v>
      </c>
      <c r="C37" s="2" t="s">
        <v>193</v>
      </c>
    </row>
    <row r="38" spans="1:7" x14ac:dyDescent="0.3">
      <c r="A38" s="3">
        <v>10</v>
      </c>
      <c r="B38" s="3">
        <v>2</v>
      </c>
      <c r="C38" s="4">
        <f>IFERROR(A38/B38, "Not Available")</f>
        <v>5</v>
      </c>
    </row>
    <row r="39" spans="1:7" x14ac:dyDescent="0.3">
      <c r="A39" s="3">
        <v>25</v>
      </c>
      <c r="B39" s="3">
        <v>5</v>
      </c>
      <c r="C39" s="4">
        <f t="shared" ref="C39:C42" si="1">IFERROR(A39/B39, "Not Available")</f>
        <v>5</v>
      </c>
    </row>
    <row r="40" spans="1:7" x14ac:dyDescent="0.3">
      <c r="A40" s="3">
        <v>18</v>
      </c>
      <c r="B40" s="3">
        <v>0</v>
      </c>
      <c r="C40" s="4" t="str">
        <f t="shared" si="1"/>
        <v>Not Available</v>
      </c>
    </row>
    <row r="41" spans="1:7" x14ac:dyDescent="0.3">
      <c r="A41" s="3">
        <v>40</v>
      </c>
      <c r="B41" s="3">
        <v>8</v>
      </c>
      <c r="C41" s="4">
        <f t="shared" si="1"/>
        <v>5</v>
      </c>
    </row>
    <row r="42" spans="1:7" x14ac:dyDescent="0.3">
      <c r="A42" s="3">
        <v>12</v>
      </c>
      <c r="B42" s="3">
        <v>0</v>
      </c>
      <c r="C42" s="4" t="str">
        <f t="shared" si="1"/>
        <v>Not Available</v>
      </c>
    </row>
    <row r="44" spans="1:7" ht="28.8" x14ac:dyDescent="0.3">
      <c r="A44" s="5" t="s">
        <v>62</v>
      </c>
      <c r="B44" s="6" t="s">
        <v>194</v>
      </c>
      <c r="F44" s="5" t="s">
        <v>195</v>
      </c>
    </row>
    <row r="47" spans="1:7" ht="30.45" customHeight="1" x14ac:dyDescent="0.3"/>
    <row r="48" spans="1:7" ht="30.45" customHeight="1" x14ac:dyDescent="0.3">
      <c r="A48" s="2" t="s">
        <v>103</v>
      </c>
      <c r="B48" s="2" t="s">
        <v>23</v>
      </c>
      <c r="C48" s="2" t="s">
        <v>24</v>
      </c>
      <c r="E48" s="2" t="s">
        <v>107</v>
      </c>
    </row>
    <row r="49" spans="1:9" x14ac:dyDescent="0.3">
      <c r="A49" s="3" t="s">
        <v>31</v>
      </c>
      <c r="B49" s="3" t="s">
        <v>32</v>
      </c>
      <c r="C49" s="3" t="s">
        <v>33</v>
      </c>
      <c r="E49" s="4" t="str">
        <f>_xlfn.TEXTJOIN(" - ", TRUE, A49:C49)</f>
        <v>Aarav - IT - Pune</v>
      </c>
    </row>
    <row r="50" spans="1:9" x14ac:dyDescent="0.3">
      <c r="A50" s="3" t="s">
        <v>37</v>
      </c>
      <c r="B50" s="3" t="s">
        <v>38</v>
      </c>
      <c r="C50" s="3" t="s">
        <v>39</v>
      </c>
      <c r="E50" s="4" t="str">
        <f t="shared" ref="E50:E53" si="2">_xlfn.TEXTJOIN(" - ", TRUE, A50:C50)</f>
        <v>Meera - HR - Mumbai</v>
      </c>
    </row>
    <row r="51" spans="1:9" x14ac:dyDescent="0.3">
      <c r="A51" s="3" t="s">
        <v>42</v>
      </c>
      <c r="B51" s="3" t="s">
        <v>32</v>
      </c>
      <c r="C51" s="3" t="s">
        <v>43</v>
      </c>
      <c r="E51" s="4" t="str">
        <f t="shared" si="2"/>
        <v>Kabir - IT - Nashik</v>
      </c>
    </row>
    <row r="52" spans="1:9" x14ac:dyDescent="0.3">
      <c r="A52" s="3" t="s">
        <v>46</v>
      </c>
      <c r="B52" s="3" t="s">
        <v>47</v>
      </c>
      <c r="C52" s="3" t="s">
        <v>33</v>
      </c>
      <c r="E52" s="4" t="str">
        <f t="shared" si="2"/>
        <v>Sara - Finance - Pune</v>
      </c>
    </row>
    <row r="53" spans="1:9" x14ac:dyDescent="0.3">
      <c r="A53" s="3" t="s">
        <v>48</v>
      </c>
      <c r="B53" s="3" t="s">
        <v>32</v>
      </c>
      <c r="C53" s="3" t="s">
        <v>39</v>
      </c>
      <c r="E53" s="4" t="str">
        <f t="shared" si="2"/>
        <v>Riya - IT - Mumbai</v>
      </c>
    </row>
    <row r="55" spans="1:9" ht="28.8" x14ac:dyDescent="0.3">
      <c r="A55" s="5" t="s">
        <v>74</v>
      </c>
      <c r="B55" s="6" t="s">
        <v>196</v>
      </c>
      <c r="F55" s="5" t="s">
        <v>197</v>
      </c>
    </row>
    <row r="56" spans="1:9" ht="28.8" x14ac:dyDescent="0.3">
      <c r="A56" s="5" t="s">
        <v>77</v>
      </c>
      <c r="B56" s="6" t="s">
        <v>198</v>
      </c>
      <c r="F56" s="5" t="s">
        <v>199</v>
      </c>
    </row>
    <row r="58" spans="1:9" x14ac:dyDescent="0.3">
      <c r="E58" s="4" t="str" cm="1">
        <f t="array" ref="E58:I58">TRANSPOSE(A49:A53)</f>
        <v>Aarav</v>
      </c>
      <c r="F58" s="4" t="str">
        <v>Meera</v>
      </c>
      <c r="G58" s="4" t="str">
        <v>Kabir</v>
      </c>
      <c r="H58" s="4" t="str">
        <v>Sara</v>
      </c>
      <c r="I58" s="4" t="str">
        <v>Riya</v>
      </c>
    </row>
  </sheetData>
  <mergeCells count="4">
    <mergeCell ref="A11:D11"/>
    <mergeCell ref="A4:D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31" zoomScale="66" zoomScaleNormal="85" workbookViewId="0">
      <selection activeCell="H40" sqref="H40"/>
    </sheetView>
  </sheetViews>
  <sheetFormatPr defaultRowHeight="14.4" x14ac:dyDescent="0.3"/>
  <cols>
    <col min="1" max="1" width="24" customWidth="1"/>
    <col min="2" max="2" width="42" customWidth="1"/>
    <col min="3" max="3" width="48" customWidth="1"/>
    <col min="4" max="4" width="55" customWidth="1"/>
    <col min="5" max="5" width="16" customWidth="1"/>
    <col min="6" max="6" width="26" customWidth="1"/>
    <col min="7" max="10" width="18" customWidth="1"/>
  </cols>
  <sheetData>
    <row r="1" spans="1:8" x14ac:dyDescent="0.3">
      <c r="A1" s="26" t="s">
        <v>200</v>
      </c>
      <c r="B1" s="24"/>
      <c r="C1" s="24"/>
      <c r="D1" s="24"/>
      <c r="E1" s="24"/>
      <c r="F1" s="24"/>
      <c r="G1" s="24"/>
      <c r="H1" s="24"/>
    </row>
    <row r="2" spans="1:8" x14ac:dyDescent="0.3">
      <c r="A2" s="25" t="s">
        <v>201</v>
      </c>
      <c r="B2" s="24"/>
      <c r="C2" s="24"/>
      <c r="D2" s="24"/>
      <c r="E2" s="24"/>
      <c r="F2" s="24"/>
      <c r="G2" s="24"/>
      <c r="H2" s="24"/>
    </row>
    <row r="3" spans="1:8" x14ac:dyDescent="0.3">
      <c r="A3" s="1" t="s">
        <v>2</v>
      </c>
      <c r="B3" s="1" t="s">
        <v>3</v>
      </c>
    </row>
    <row r="4" spans="1:8" x14ac:dyDescent="0.3">
      <c r="A4" s="23" t="s">
        <v>4</v>
      </c>
      <c r="B4" s="24"/>
      <c r="C4" s="24"/>
      <c r="D4" s="24"/>
    </row>
    <row r="5" spans="1:8" x14ac:dyDescent="0.3">
      <c r="A5" s="2" t="s">
        <v>83</v>
      </c>
      <c r="B5" s="2" t="s">
        <v>84</v>
      </c>
      <c r="C5" s="2" t="s">
        <v>7</v>
      </c>
      <c r="D5" s="2" t="s">
        <v>8</v>
      </c>
    </row>
    <row r="6" spans="1:8" ht="28.8" x14ac:dyDescent="0.3">
      <c r="A6" s="10" t="s">
        <v>202</v>
      </c>
      <c r="B6" s="10" t="s">
        <v>203</v>
      </c>
      <c r="C6" s="10">
        <f>SUBTOTAL(9,D6:D13)</f>
        <v>0</v>
      </c>
      <c r="D6" s="10" t="s">
        <v>204</v>
      </c>
    </row>
    <row r="7" spans="1:8" ht="28.8" x14ac:dyDescent="0.3">
      <c r="A7" s="12" t="s">
        <v>205</v>
      </c>
      <c r="B7" s="12" t="s">
        <v>206</v>
      </c>
      <c r="C7" s="12">
        <f ca="1">INDIRECT("E24")</f>
        <v>0</v>
      </c>
      <c r="D7" s="12" t="s">
        <v>207</v>
      </c>
    </row>
    <row r="8" spans="1:8" ht="28.8" x14ac:dyDescent="0.3">
      <c r="A8" s="10" t="s">
        <v>208</v>
      </c>
      <c r="B8" s="10" t="s">
        <v>209</v>
      </c>
      <c r="C8" s="10">
        <f ca="1">OFFSET(C24,1,0)</f>
        <v>0</v>
      </c>
      <c r="D8" s="10" t="s">
        <v>210</v>
      </c>
    </row>
    <row r="9" spans="1:8" x14ac:dyDescent="0.3">
      <c r="A9" s="20" t="s">
        <v>21</v>
      </c>
      <c r="B9" s="21"/>
      <c r="C9" s="21"/>
      <c r="D9" s="22"/>
    </row>
    <row r="13" spans="1:8" x14ac:dyDescent="0.3">
      <c r="A13" s="2" t="s">
        <v>119</v>
      </c>
      <c r="B13" s="2" t="s">
        <v>25</v>
      </c>
      <c r="C13" s="2" t="s">
        <v>120</v>
      </c>
      <c r="D13" s="2" t="s">
        <v>26</v>
      </c>
      <c r="E13" s="2" t="s">
        <v>121</v>
      </c>
    </row>
    <row r="14" spans="1:8" x14ac:dyDescent="0.3">
      <c r="A14" s="3" t="s">
        <v>122</v>
      </c>
      <c r="B14" s="3" t="s">
        <v>34</v>
      </c>
      <c r="C14" s="3" t="s">
        <v>32</v>
      </c>
      <c r="D14" s="3">
        <v>12</v>
      </c>
      <c r="E14" s="9">
        <v>55000</v>
      </c>
    </row>
    <row r="15" spans="1:8" x14ac:dyDescent="0.3">
      <c r="A15" s="3" t="s">
        <v>123</v>
      </c>
      <c r="B15" s="3" t="s">
        <v>40</v>
      </c>
      <c r="C15" s="3" t="s">
        <v>32</v>
      </c>
      <c r="D15" s="3">
        <v>8</v>
      </c>
      <c r="E15" s="9">
        <v>18000</v>
      </c>
    </row>
    <row r="16" spans="1:8" ht="30.45" customHeight="1" x14ac:dyDescent="0.3">
      <c r="A16" s="3" t="s">
        <v>124</v>
      </c>
      <c r="B16" s="3" t="s">
        <v>44</v>
      </c>
      <c r="C16" s="3" t="s">
        <v>32</v>
      </c>
      <c r="D16" s="3">
        <v>20</v>
      </c>
      <c r="E16" s="9">
        <v>2500</v>
      </c>
    </row>
    <row r="17" spans="1:8" ht="30.45" customHeight="1" x14ac:dyDescent="0.3">
      <c r="A17" s="3" t="s">
        <v>125</v>
      </c>
      <c r="B17" s="3" t="s">
        <v>127</v>
      </c>
      <c r="C17" s="3" t="s">
        <v>126</v>
      </c>
      <c r="D17" s="3">
        <v>5</v>
      </c>
      <c r="E17" s="9">
        <v>12000</v>
      </c>
    </row>
    <row r="18" spans="1:8" ht="30.45" customHeight="1" x14ac:dyDescent="0.3">
      <c r="A18" s="3" t="s">
        <v>128</v>
      </c>
      <c r="B18" s="3" t="s">
        <v>129</v>
      </c>
      <c r="C18" s="3" t="s">
        <v>32</v>
      </c>
      <c r="D18" s="3">
        <v>25</v>
      </c>
      <c r="E18" s="9">
        <v>900</v>
      </c>
    </row>
    <row r="19" spans="1:8" x14ac:dyDescent="0.3">
      <c r="A19" s="3" t="s">
        <v>130</v>
      </c>
      <c r="B19" s="3" t="s">
        <v>132</v>
      </c>
      <c r="C19" s="3" t="s">
        <v>131</v>
      </c>
      <c r="D19" s="3">
        <v>10</v>
      </c>
      <c r="E19" s="9">
        <v>4500</v>
      </c>
    </row>
    <row r="20" spans="1:8" x14ac:dyDescent="0.3">
      <c r="A20" s="3" t="s">
        <v>133</v>
      </c>
      <c r="B20" s="3" t="s">
        <v>70</v>
      </c>
      <c r="C20" s="3" t="s">
        <v>32</v>
      </c>
      <c r="D20" s="3">
        <v>15</v>
      </c>
      <c r="E20" s="9">
        <v>6500</v>
      </c>
    </row>
    <row r="21" spans="1:8" x14ac:dyDescent="0.3">
      <c r="A21" s="3" t="s">
        <v>134</v>
      </c>
      <c r="B21" s="3" t="s">
        <v>135</v>
      </c>
      <c r="C21" s="3" t="s">
        <v>126</v>
      </c>
      <c r="D21" s="3">
        <v>3</v>
      </c>
      <c r="E21" s="9">
        <v>38000</v>
      </c>
    </row>
    <row r="24" spans="1:8" ht="43.2" x14ac:dyDescent="0.3">
      <c r="A24" s="5" t="s">
        <v>55</v>
      </c>
      <c r="B24" s="6" t="s">
        <v>211</v>
      </c>
      <c r="F24" s="5" t="s">
        <v>212</v>
      </c>
      <c r="H24">
        <f>SUBTOTAL(9, D14:D21)</f>
        <v>98</v>
      </c>
    </row>
    <row r="25" spans="1:8" ht="28.8" x14ac:dyDescent="0.3">
      <c r="A25" s="5" t="s">
        <v>58</v>
      </c>
      <c r="B25" s="6" t="s">
        <v>213</v>
      </c>
      <c r="F25" s="5" t="s">
        <v>214</v>
      </c>
      <c r="H25">
        <f>SUBTOTAL(1, E14:E21)</f>
        <v>17175</v>
      </c>
    </row>
    <row r="26" spans="1:8" ht="28.8" x14ac:dyDescent="0.3">
      <c r="A26" s="5" t="s">
        <v>60</v>
      </c>
      <c r="B26" s="6" t="s">
        <v>215</v>
      </c>
      <c r="F26" s="5" t="s">
        <v>216</v>
      </c>
      <c r="H26">
        <f>SUBTOTAL(3, B14:B21)</f>
        <v>8</v>
      </c>
    </row>
    <row r="30" spans="1:8" ht="30.45" customHeight="1" x14ac:dyDescent="0.3"/>
    <row r="31" spans="1:8" ht="30.45" customHeight="1" x14ac:dyDescent="0.3">
      <c r="A31" s="2" t="s">
        <v>119</v>
      </c>
      <c r="B31" s="2" t="s">
        <v>23</v>
      </c>
      <c r="C31" s="2" t="s">
        <v>217</v>
      </c>
      <c r="E31" s="2" t="s">
        <v>107</v>
      </c>
    </row>
    <row r="32" spans="1:8" ht="30.45" customHeight="1" x14ac:dyDescent="0.3">
      <c r="A32" s="3" t="s">
        <v>218</v>
      </c>
      <c r="B32" s="3" t="s">
        <v>51</v>
      </c>
      <c r="C32" s="3">
        <v>12000</v>
      </c>
      <c r="E32" s="4"/>
    </row>
    <row r="33" spans="1:7" x14ac:dyDescent="0.3">
      <c r="A33" s="3" t="s">
        <v>219</v>
      </c>
      <c r="B33" s="3" t="s">
        <v>220</v>
      </c>
      <c r="C33" s="3">
        <v>8500</v>
      </c>
      <c r="E33" s="4"/>
    </row>
    <row r="34" spans="1:7" x14ac:dyDescent="0.3">
      <c r="A34" s="3" t="s">
        <v>221</v>
      </c>
      <c r="B34" s="3" t="s">
        <v>32</v>
      </c>
      <c r="C34" s="3">
        <v>15500</v>
      </c>
      <c r="E34" s="4"/>
    </row>
    <row r="35" spans="1:7" x14ac:dyDescent="0.3">
      <c r="A35" s="3" t="s">
        <v>222</v>
      </c>
      <c r="B35" s="3" t="s">
        <v>38</v>
      </c>
      <c r="C35" s="3">
        <v>9200</v>
      </c>
      <c r="E35" s="4"/>
    </row>
    <row r="36" spans="1:7" x14ac:dyDescent="0.3">
      <c r="A36" s="3" t="s">
        <v>223</v>
      </c>
      <c r="B36" s="3" t="s">
        <v>47</v>
      </c>
      <c r="C36" s="3">
        <v>17300</v>
      </c>
      <c r="E36" s="4"/>
    </row>
    <row r="38" spans="1:7" ht="43.2" x14ac:dyDescent="0.3">
      <c r="A38" s="5" t="s">
        <v>62</v>
      </c>
      <c r="B38" s="6" t="s">
        <v>224</v>
      </c>
      <c r="E38" cm="1">
        <f t="array" aca="1" ref="E38" ca="1">INDIRECT(E38)</f>
        <v>0</v>
      </c>
      <c r="F38" s="5" t="s">
        <v>225</v>
      </c>
      <c r="G38" s="3" t="s">
        <v>226</v>
      </c>
    </row>
    <row r="39" spans="1:7" ht="28.8" x14ac:dyDescent="0.3">
      <c r="A39" s="5" t="s">
        <v>74</v>
      </c>
      <c r="B39" s="6" t="s">
        <v>227</v>
      </c>
      <c r="E39">
        <f ca="1">OFFSET(E31, 1, 0)</f>
        <v>0</v>
      </c>
      <c r="F39" s="5" t="s">
        <v>228</v>
      </c>
    </row>
    <row r="40" spans="1:7" ht="28.8" x14ac:dyDescent="0.3">
      <c r="A40" s="5" t="s">
        <v>77</v>
      </c>
      <c r="B40" s="6" t="s">
        <v>229</v>
      </c>
      <c r="E40">
        <f ca="1">SUM(OFFSET(E32, 0, 0, 3, 1))</f>
        <v>0</v>
      </c>
      <c r="F40" s="5" t="s">
        <v>230</v>
      </c>
    </row>
  </sheetData>
  <mergeCells count="4">
    <mergeCell ref="A4:D4"/>
    <mergeCell ref="A2:H2"/>
    <mergeCell ref="A9:D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topLeftCell="A26" zoomScale="66" workbookViewId="0">
      <selection activeCell="F48" sqref="F48"/>
    </sheetView>
  </sheetViews>
  <sheetFormatPr defaultRowHeight="14.4" x14ac:dyDescent="0.3"/>
  <cols>
    <col min="1" max="1" width="24" customWidth="1"/>
    <col min="2" max="2" width="42" customWidth="1"/>
    <col min="3" max="3" width="48" customWidth="1"/>
    <col min="4" max="4" width="55" customWidth="1"/>
    <col min="5" max="5" width="16" customWidth="1"/>
    <col min="6" max="6" width="26" customWidth="1"/>
    <col min="7" max="10" width="18" customWidth="1"/>
  </cols>
  <sheetData>
    <row r="1" spans="1:8" x14ac:dyDescent="0.3">
      <c r="A1" s="26" t="s">
        <v>231</v>
      </c>
      <c r="B1" s="24"/>
      <c r="C1" s="24"/>
      <c r="D1" s="24"/>
      <c r="E1" s="24"/>
      <c r="F1" s="24"/>
      <c r="G1" s="24"/>
      <c r="H1" s="24"/>
    </row>
    <row r="2" spans="1:8" x14ac:dyDescent="0.3">
      <c r="A2" s="25" t="s">
        <v>232</v>
      </c>
      <c r="B2" s="24"/>
      <c r="C2" s="24"/>
      <c r="D2" s="24"/>
      <c r="E2" s="24"/>
      <c r="F2" s="24"/>
      <c r="G2" s="24"/>
      <c r="H2" s="24"/>
    </row>
    <row r="3" spans="1:8" x14ac:dyDescent="0.3">
      <c r="A3" s="1" t="s">
        <v>2</v>
      </c>
      <c r="B3" s="1" t="s">
        <v>3</v>
      </c>
    </row>
    <row r="4" spans="1:8" x14ac:dyDescent="0.3">
      <c r="A4" s="23" t="s">
        <v>4</v>
      </c>
      <c r="B4" s="24"/>
      <c r="C4" s="24"/>
      <c r="D4" s="24"/>
    </row>
    <row r="5" spans="1:8" x14ac:dyDescent="0.3">
      <c r="A5" s="2" t="s">
        <v>83</v>
      </c>
      <c r="B5" s="2" t="s">
        <v>84</v>
      </c>
      <c r="C5" s="2" t="s">
        <v>7</v>
      </c>
      <c r="D5" s="2" t="s">
        <v>8</v>
      </c>
    </row>
    <row r="6" spans="1:8" x14ac:dyDescent="0.3">
      <c r="A6" s="10" t="s">
        <v>85</v>
      </c>
      <c r="B6" s="10" t="s">
        <v>86</v>
      </c>
      <c r="C6" s="10" t="str">
        <f ca="1">SUMIF(C6:C15,"IT",H6:H15)</f>
        <v/>
      </c>
      <c r="D6" s="10" t="s">
        <v>233</v>
      </c>
    </row>
    <row r="7" spans="1:8" x14ac:dyDescent="0.3">
      <c r="A7" s="12" t="s">
        <v>88</v>
      </c>
      <c r="B7" s="12" t="s">
        <v>89</v>
      </c>
      <c r="C7" s="12" t="str">
        <f ca="1">SUMIFS(H6:H15,C6:C15,"IT",G6:G15,"Paid")</f>
        <v/>
      </c>
      <c r="D7" s="12" t="s">
        <v>234</v>
      </c>
    </row>
    <row r="8" spans="1:8" x14ac:dyDescent="0.3">
      <c r="A8" s="10" t="s">
        <v>91</v>
      </c>
      <c r="B8" s="10" t="s">
        <v>92</v>
      </c>
      <c r="C8" s="10">
        <f>COUNTIF(G6:G15,"Pending")</f>
        <v>1</v>
      </c>
      <c r="D8" s="10" t="s">
        <v>235</v>
      </c>
    </row>
    <row r="9" spans="1:8" x14ac:dyDescent="0.3">
      <c r="A9" s="12" t="s">
        <v>94</v>
      </c>
      <c r="B9" s="12" t="s">
        <v>236</v>
      </c>
      <c r="C9" s="12" t="str">
        <f ca="1">COUNTIFS(C6:C15,"IT",G6:G15,"Pending")</f>
        <v/>
      </c>
      <c r="D9" s="12" t="s">
        <v>237</v>
      </c>
    </row>
    <row r="10" spans="1:8" x14ac:dyDescent="0.3">
      <c r="A10" s="10" t="s">
        <v>97</v>
      </c>
      <c r="B10" s="10" t="s">
        <v>98</v>
      </c>
      <c r="C10" s="10">
        <f>AVERAGEIF(D6:D15,"Laptop",F6:F15)</f>
        <v>55000</v>
      </c>
      <c r="D10" s="10" t="s">
        <v>238</v>
      </c>
    </row>
    <row r="11" spans="1:8" ht="28.8" x14ac:dyDescent="0.3">
      <c r="A11" s="12" t="s">
        <v>148</v>
      </c>
      <c r="B11" s="12" t="s">
        <v>149</v>
      </c>
      <c r="C11" s="12">
        <f>IFERROR(PaidOrders/TotalOrders,0)</f>
        <v>0</v>
      </c>
      <c r="D11" s="12" t="s">
        <v>239</v>
      </c>
    </row>
    <row r="12" spans="1:8" x14ac:dyDescent="0.3">
      <c r="A12" s="10" t="s">
        <v>154</v>
      </c>
      <c r="B12" s="10" t="s">
        <v>155</v>
      </c>
      <c r="C12" s="10" t="e">
        <f ca="1">_xludf.TEXTJOIN(" - ",TRUE,A6:C6)</f>
        <v>#NAME?</v>
      </c>
      <c r="D12" s="10" t="s">
        <v>240</v>
      </c>
    </row>
    <row r="13" spans="1:8" ht="28.8" x14ac:dyDescent="0.3">
      <c r="A13" s="20" t="s">
        <v>21</v>
      </c>
      <c r="B13" s="21"/>
      <c r="C13" s="21"/>
      <c r="D13" s="22"/>
      <c r="E13" s="2" t="s">
        <v>26</v>
      </c>
      <c r="F13" s="2" t="s">
        <v>27</v>
      </c>
      <c r="G13" s="2" t="s">
        <v>28</v>
      </c>
      <c r="H13" s="2" t="s">
        <v>241</v>
      </c>
    </row>
    <row r="14" spans="1:8" x14ac:dyDescent="0.3">
      <c r="A14" s="3" t="s">
        <v>67</v>
      </c>
      <c r="B14" s="3" t="s">
        <v>31</v>
      </c>
      <c r="C14" s="3" t="s">
        <v>32</v>
      </c>
      <c r="D14" s="3" t="s">
        <v>34</v>
      </c>
      <c r="E14" s="3">
        <v>2</v>
      </c>
      <c r="F14" s="9">
        <v>55000</v>
      </c>
      <c r="G14" s="3" t="s">
        <v>35</v>
      </c>
      <c r="H14">
        <f>E14*F14</f>
        <v>110000</v>
      </c>
    </row>
    <row r="15" spans="1:8" x14ac:dyDescent="0.3">
      <c r="A15" s="3" t="s">
        <v>68</v>
      </c>
      <c r="B15" s="3" t="s">
        <v>37</v>
      </c>
      <c r="C15" s="3" t="s">
        <v>38</v>
      </c>
      <c r="D15" s="3" t="s">
        <v>40</v>
      </c>
      <c r="E15" s="3">
        <v>3</v>
      </c>
      <c r="F15" s="9">
        <v>18000</v>
      </c>
      <c r="G15" s="3" t="s">
        <v>41</v>
      </c>
      <c r="H15">
        <f t="shared" ref="H15:H23" si="0">E15*F15</f>
        <v>54000</v>
      </c>
    </row>
    <row r="16" spans="1:8" x14ac:dyDescent="0.3">
      <c r="A16" s="3" t="s">
        <v>69</v>
      </c>
      <c r="B16" s="3" t="s">
        <v>42</v>
      </c>
      <c r="C16" s="3" t="s">
        <v>32</v>
      </c>
      <c r="D16" s="3" t="s">
        <v>70</v>
      </c>
      <c r="E16" s="3">
        <v>5</v>
      </c>
      <c r="F16" s="9">
        <v>6500</v>
      </c>
      <c r="G16" s="3" t="s">
        <v>35</v>
      </c>
      <c r="H16">
        <f t="shared" si="0"/>
        <v>32500</v>
      </c>
    </row>
    <row r="17" spans="1:8" x14ac:dyDescent="0.3">
      <c r="A17" s="3" t="s">
        <v>71</v>
      </c>
      <c r="B17" s="3" t="s">
        <v>46</v>
      </c>
      <c r="C17" s="3" t="s">
        <v>47</v>
      </c>
      <c r="D17" s="3" t="s">
        <v>34</v>
      </c>
      <c r="E17" s="3">
        <v>1</v>
      </c>
      <c r="F17" s="9">
        <v>55000</v>
      </c>
      <c r="G17" s="3" t="s">
        <v>35</v>
      </c>
      <c r="H17">
        <f t="shared" si="0"/>
        <v>55000</v>
      </c>
    </row>
    <row r="18" spans="1:8" ht="30.45" customHeight="1" x14ac:dyDescent="0.3">
      <c r="A18" s="3" t="s">
        <v>72</v>
      </c>
      <c r="B18" s="3" t="s">
        <v>48</v>
      </c>
      <c r="C18" s="3" t="s">
        <v>32</v>
      </c>
      <c r="D18" s="3" t="s">
        <v>40</v>
      </c>
      <c r="E18" s="3">
        <v>6</v>
      </c>
      <c r="F18" s="9">
        <v>18000</v>
      </c>
      <c r="G18" s="3" t="s">
        <v>41</v>
      </c>
      <c r="H18">
        <f t="shared" si="0"/>
        <v>108000</v>
      </c>
    </row>
    <row r="19" spans="1:8" x14ac:dyDescent="0.3">
      <c r="A19" s="3" t="s">
        <v>73</v>
      </c>
      <c r="B19" s="3" t="s">
        <v>50</v>
      </c>
      <c r="C19" s="3" t="s">
        <v>51</v>
      </c>
      <c r="D19" s="3" t="s">
        <v>34</v>
      </c>
      <c r="E19" s="3">
        <v>2</v>
      </c>
      <c r="F19" s="9">
        <v>55000</v>
      </c>
      <c r="G19" s="3" t="s">
        <v>35</v>
      </c>
      <c r="H19">
        <f t="shared" si="0"/>
        <v>110000</v>
      </c>
    </row>
    <row r="20" spans="1:8" ht="30.45" customHeight="1" x14ac:dyDescent="0.3">
      <c r="A20" s="3" t="s">
        <v>242</v>
      </c>
      <c r="B20" s="3" t="s">
        <v>52</v>
      </c>
      <c r="C20" s="3" t="s">
        <v>47</v>
      </c>
      <c r="D20" s="3" t="s">
        <v>70</v>
      </c>
      <c r="E20" s="3">
        <v>4</v>
      </c>
      <c r="F20" s="9">
        <v>6500</v>
      </c>
      <c r="G20" s="3" t="s">
        <v>35</v>
      </c>
      <c r="H20">
        <f t="shared" si="0"/>
        <v>26000</v>
      </c>
    </row>
    <row r="21" spans="1:8" ht="30.45" customHeight="1" x14ac:dyDescent="0.3">
      <c r="A21" s="3" t="s">
        <v>243</v>
      </c>
      <c r="B21" s="3" t="s">
        <v>54</v>
      </c>
      <c r="C21" s="3" t="s">
        <v>51</v>
      </c>
      <c r="D21" s="3" t="s">
        <v>40</v>
      </c>
      <c r="E21" s="3">
        <v>5</v>
      </c>
      <c r="F21" s="9">
        <v>18000</v>
      </c>
      <c r="G21" s="3" t="s">
        <v>41</v>
      </c>
      <c r="H21">
        <f t="shared" si="0"/>
        <v>90000</v>
      </c>
    </row>
    <row r="22" spans="1:8" ht="30.45" customHeight="1" x14ac:dyDescent="0.3">
      <c r="A22" s="3" t="s">
        <v>244</v>
      </c>
      <c r="B22" s="3" t="s">
        <v>110</v>
      </c>
      <c r="C22" s="3" t="s">
        <v>38</v>
      </c>
      <c r="D22" s="3" t="s">
        <v>34</v>
      </c>
      <c r="E22" s="3">
        <v>1</v>
      </c>
      <c r="F22" s="9">
        <v>55000</v>
      </c>
      <c r="G22" s="3" t="s">
        <v>35</v>
      </c>
      <c r="H22">
        <f t="shared" si="0"/>
        <v>55000</v>
      </c>
    </row>
    <row r="23" spans="1:8" ht="30.45" customHeight="1" x14ac:dyDescent="0.3">
      <c r="A23" s="3" t="s">
        <v>245</v>
      </c>
      <c r="B23" s="3" t="s">
        <v>111</v>
      </c>
      <c r="C23" s="3" t="s">
        <v>32</v>
      </c>
      <c r="D23" s="3" t="s">
        <v>34</v>
      </c>
      <c r="E23" s="3">
        <v>3</v>
      </c>
      <c r="F23" s="9">
        <v>55000</v>
      </c>
      <c r="G23" s="3" t="s">
        <v>35</v>
      </c>
      <c r="H23">
        <f t="shared" si="0"/>
        <v>165000</v>
      </c>
    </row>
    <row r="24" spans="1:8" ht="30.45" customHeight="1" x14ac:dyDescent="0.3"/>
    <row r="25" spans="1:8" ht="30.45" customHeight="1" x14ac:dyDescent="0.3"/>
    <row r="26" spans="1:8" ht="28.8" x14ac:dyDescent="0.3">
      <c r="A26" s="5" t="s">
        <v>55</v>
      </c>
      <c r="B26" s="6" t="s">
        <v>246</v>
      </c>
      <c r="F26" s="5" t="s">
        <v>247</v>
      </c>
    </row>
    <row r="28" spans="1:8" x14ac:dyDescent="0.3">
      <c r="A28" s="5" t="s">
        <v>58</v>
      </c>
      <c r="B28" s="6" t="s">
        <v>248</v>
      </c>
      <c r="F28" s="5" t="s">
        <v>249</v>
      </c>
      <c r="H28" s="4">
        <f>SUMIF(C14:C23, "IT", H14:H23)</f>
        <v>415500</v>
      </c>
    </row>
    <row r="29" spans="1:8" ht="28.8" x14ac:dyDescent="0.3">
      <c r="A29" s="5" t="s">
        <v>60</v>
      </c>
      <c r="B29" s="6" t="s">
        <v>250</v>
      </c>
      <c r="F29" s="5" t="s">
        <v>251</v>
      </c>
      <c r="H29" s="4">
        <f>SUMIFS(H14:H23, C14:C23, "IT", G14:G23, "Paid")</f>
        <v>307500</v>
      </c>
    </row>
    <row r="30" spans="1:8" x14ac:dyDescent="0.3">
      <c r="A30" s="5" t="s">
        <v>62</v>
      </c>
      <c r="B30" s="6" t="s">
        <v>252</v>
      </c>
      <c r="F30" s="5" t="s">
        <v>253</v>
      </c>
      <c r="H30" s="4">
        <f>COUNTIF(G14:G23, "Pending")</f>
        <v>3</v>
      </c>
    </row>
    <row r="31" spans="1:8" ht="28.8" x14ac:dyDescent="0.3">
      <c r="A31" s="5" t="s">
        <v>74</v>
      </c>
      <c r="B31" s="6" t="s">
        <v>254</v>
      </c>
      <c r="F31" s="5" t="s">
        <v>255</v>
      </c>
      <c r="H31" s="4">
        <f>COUNTIFS(C14:C23, "IT", G14:G23, "Pending")</f>
        <v>1</v>
      </c>
    </row>
    <row r="32" spans="1:8" ht="28.8" x14ac:dyDescent="0.3">
      <c r="A32" s="5" t="s">
        <v>77</v>
      </c>
      <c r="B32" s="6" t="s">
        <v>256</v>
      </c>
      <c r="F32" s="5" t="s">
        <v>257</v>
      </c>
      <c r="H32" s="4">
        <f>AVERAGEIF(D14:D23, "Laptop", F14:F23)</f>
        <v>55000</v>
      </c>
    </row>
    <row r="33" spans="1:8" ht="28.8" x14ac:dyDescent="0.3">
      <c r="A33" s="5" t="s">
        <v>79</v>
      </c>
      <c r="B33" s="6" t="s">
        <v>258</v>
      </c>
      <c r="F33" s="5" t="s">
        <v>259</v>
      </c>
      <c r="H33" s="4">
        <f>IFERROR(COUNTIF(G14:G23, "Paid") / COUNTA(G14:G23), 0)</f>
        <v>0.7</v>
      </c>
    </row>
    <row r="37" spans="1:8" ht="30.45" customHeight="1" x14ac:dyDescent="0.3">
      <c r="A37" s="2" t="s">
        <v>22</v>
      </c>
      <c r="B37" s="2" t="s">
        <v>23</v>
      </c>
      <c r="C37" s="2" t="s">
        <v>24</v>
      </c>
      <c r="D37" s="2" t="s">
        <v>28</v>
      </c>
      <c r="E37" s="2" t="s">
        <v>105</v>
      </c>
      <c r="F37" s="2" t="s">
        <v>107</v>
      </c>
    </row>
    <row r="38" spans="1:8" ht="30.45" customHeight="1" x14ac:dyDescent="0.3">
      <c r="A38" s="3" t="s">
        <v>31</v>
      </c>
      <c r="B38" s="3" t="s">
        <v>32</v>
      </c>
      <c r="C38" s="3" t="s">
        <v>33</v>
      </c>
      <c r="D38" s="3" t="s">
        <v>35</v>
      </c>
      <c r="E38" s="3">
        <v>55000</v>
      </c>
      <c r="F38" s="4" t="str">
        <f>_xlfn.TEXTJOIN(" - ", TRUE, A38:C38)</f>
        <v>Aarav - IT - Pune</v>
      </c>
    </row>
    <row r="39" spans="1:8" ht="30.45" customHeight="1" x14ac:dyDescent="0.3">
      <c r="A39" s="3" t="s">
        <v>37</v>
      </c>
      <c r="B39" s="3" t="s">
        <v>38</v>
      </c>
      <c r="C39" s="3" t="s">
        <v>39</v>
      </c>
      <c r="D39" s="3" t="s">
        <v>41</v>
      </c>
      <c r="E39" s="3">
        <v>42000</v>
      </c>
      <c r="F39" s="4" t="str">
        <f t="shared" ref="F39:F43" si="1">_xlfn.TEXTJOIN(" - ", TRUE, A39:C39)</f>
        <v>Meera - HR - Mumbai</v>
      </c>
    </row>
    <row r="40" spans="1:8" x14ac:dyDescent="0.3">
      <c r="A40" s="3" t="s">
        <v>42</v>
      </c>
      <c r="B40" s="3" t="s">
        <v>32</v>
      </c>
      <c r="C40" s="3" t="s">
        <v>43</v>
      </c>
      <c r="D40" s="3" t="s">
        <v>35</v>
      </c>
      <c r="E40" s="3">
        <v>62000</v>
      </c>
      <c r="F40" s="4" t="str">
        <f t="shared" si="1"/>
        <v>Kabir - IT - Nashik</v>
      </c>
    </row>
    <row r="41" spans="1:8" x14ac:dyDescent="0.3">
      <c r="A41" s="3" t="s">
        <v>46</v>
      </c>
      <c r="B41" s="3" t="s">
        <v>47</v>
      </c>
      <c r="C41" s="3" t="s">
        <v>33</v>
      </c>
      <c r="D41" s="3" t="s">
        <v>35</v>
      </c>
      <c r="E41" s="3">
        <v>71000</v>
      </c>
      <c r="F41" s="4" t="str">
        <f t="shared" si="1"/>
        <v>Sara - Finance - Pune</v>
      </c>
    </row>
    <row r="42" spans="1:8" x14ac:dyDescent="0.3">
      <c r="A42" s="3" t="s">
        <v>48</v>
      </c>
      <c r="B42" s="3" t="s">
        <v>32</v>
      </c>
      <c r="C42" s="3" t="s">
        <v>39</v>
      </c>
      <c r="D42" s="3" t="s">
        <v>41</v>
      </c>
      <c r="E42" s="3">
        <v>48000</v>
      </c>
      <c r="F42" s="4" t="str">
        <f t="shared" si="1"/>
        <v>Riya - IT - Mumbai</v>
      </c>
    </row>
    <row r="43" spans="1:8" x14ac:dyDescent="0.3">
      <c r="A43" s="3" t="s">
        <v>50</v>
      </c>
      <c r="B43" s="3" t="s">
        <v>51</v>
      </c>
      <c r="C43" s="3" t="s">
        <v>43</v>
      </c>
      <c r="D43" s="3" t="s">
        <v>35</v>
      </c>
      <c r="E43" s="3">
        <v>39000</v>
      </c>
      <c r="F43" s="4" t="str">
        <f t="shared" si="1"/>
        <v>Adil - Sales - Nashik</v>
      </c>
    </row>
    <row r="45" spans="1:8" ht="28.8" x14ac:dyDescent="0.3">
      <c r="A45" s="5" t="s">
        <v>136</v>
      </c>
      <c r="B45" s="6" t="s">
        <v>260</v>
      </c>
      <c r="F45" s="5" t="s">
        <v>261</v>
      </c>
    </row>
    <row r="46" spans="1:8" ht="28.8" x14ac:dyDescent="0.3">
      <c r="A46" s="5" t="s">
        <v>138</v>
      </c>
      <c r="B46" s="6" t="s">
        <v>262</v>
      </c>
      <c r="F46" s="8">
        <f>COUNTIFS(B38:B43, "IT", C38:C43, "Mumbai")</f>
        <v>1</v>
      </c>
    </row>
    <row r="47" spans="1:8" ht="28.8" x14ac:dyDescent="0.3">
      <c r="A47" s="5" t="s">
        <v>140</v>
      </c>
      <c r="B47" s="6" t="s">
        <v>263</v>
      </c>
      <c r="F47" s="8">
        <f>AVERAGEIFS(E38:E43, B38:B43, "IT", D38:D43, "Paid")</f>
        <v>58500</v>
      </c>
    </row>
  </sheetData>
  <mergeCells count="4">
    <mergeCell ref="A4:D4"/>
    <mergeCell ref="A2:H2"/>
    <mergeCell ref="A13:D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tabSelected="1" zoomScale="78" workbookViewId="0">
      <selection sqref="A1:H1"/>
    </sheetView>
  </sheetViews>
  <sheetFormatPr defaultRowHeight="14.4" x14ac:dyDescent="0.3"/>
  <cols>
    <col min="1" max="1" width="13" customWidth="1"/>
    <col min="2" max="2" width="28" customWidth="1"/>
    <col min="3" max="4" width="18" customWidth="1"/>
    <col min="5" max="5" width="16" customWidth="1"/>
    <col min="6" max="6" width="26" customWidth="1"/>
    <col min="7" max="10" width="18" customWidth="1"/>
  </cols>
  <sheetData>
    <row r="1" spans="1:8" x14ac:dyDescent="0.3">
      <c r="A1" s="26" t="s">
        <v>264</v>
      </c>
      <c r="B1" s="24"/>
      <c r="C1" s="24"/>
      <c r="D1" s="24"/>
      <c r="E1" s="24"/>
      <c r="F1" s="24"/>
      <c r="G1" s="24"/>
      <c r="H1" s="24"/>
    </row>
    <row r="2" spans="1:8" x14ac:dyDescent="0.3">
      <c r="A2" s="25" t="s">
        <v>265</v>
      </c>
      <c r="B2" s="24"/>
      <c r="C2" s="24"/>
      <c r="D2" s="24"/>
      <c r="E2" s="24"/>
      <c r="F2" s="24"/>
      <c r="G2" s="24"/>
      <c r="H2" s="24"/>
    </row>
    <row r="3" spans="1:8" x14ac:dyDescent="0.3">
      <c r="A3" s="1" t="s">
        <v>2</v>
      </c>
      <c r="B3" s="1" t="s">
        <v>3</v>
      </c>
    </row>
    <row r="5" spans="1:8" x14ac:dyDescent="0.3">
      <c r="A5" s="2" t="s">
        <v>83</v>
      </c>
      <c r="B5" s="2" t="s">
        <v>84</v>
      </c>
      <c r="C5" s="2" t="s">
        <v>266</v>
      </c>
    </row>
    <row r="6" spans="1:8" ht="28.8" x14ac:dyDescent="0.3">
      <c r="A6" s="10" t="s">
        <v>85</v>
      </c>
      <c r="B6" s="10" t="s">
        <v>86</v>
      </c>
      <c r="C6" s="10" t="s">
        <v>267</v>
      </c>
    </row>
    <row r="7" spans="1:8" ht="28.8" x14ac:dyDescent="0.3">
      <c r="A7" s="11" t="s">
        <v>88</v>
      </c>
      <c r="B7" s="11" t="s">
        <v>89</v>
      </c>
      <c r="C7" s="11" t="s">
        <v>268</v>
      </c>
    </row>
    <row r="8" spans="1:8" ht="28.8" x14ac:dyDescent="0.3">
      <c r="A8" s="10" t="s">
        <v>91</v>
      </c>
      <c r="B8" s="10" t="s">
        <v>92</v>
      </c>
      <c r="C8" s="10" t="s">
        <v>269</v>
      </c>
    </row>
    <row r="9" spans="1:8" ht="28.8" x14ac:dyDescent="0.3">
      <c r="A9" s="11" t="s">
        <v>94</v>
      </c>
      <c r="B9" s="11" t="s">
        <v>236</v>
      </c>
      <c r="C9" s="11" t="s">
        <v>270</v>
      </c>
    </row>
    <row r="10" spans="1:8" ht="28.8" x14ac:dyDescent="0.3">
      <c r="A10" s="10" t="s">
        <v>97</v>
      </c>
      <c r="B10" s="10" t="s">
        <v>98</v>
      </c>
      <c r="C10" s="10" t="s">
        <v>271</v>
      </c>
    </row>
    <row r="11" spans="1:8" ht="28.8" x14ac:dyDescent="0.3">
      <c r="A11" s="11" t="s">
        <v>100</v>
      </c>
      <c r="B11" s="11" t="s">
        <v>101</v>
      </c>
      <c r="C11" s="11" t="s">
        <v>272</v>
      </c>
    </row>
    <row r="12" spans="1:8" ht="28.8" x14ac:dyDescent="0.3">
      <c r="A12" s="10" t="s">
        <v>148</v>
      </c>
      <c r="B12" s="10" t="s">
        <v>149</v>
      </c>
      <c r="C12" s="10" t="s">
        <v>273</v>
      </c>
    </row>
    <row r="13" spans="1:8" ht="28.8" x14ac:dyDescent="0.3">
      <c r="A13" s="11" t="s">
        <v>151</v>
      </c>
      <c r="B13" s="11" t="s">
        <v>152</v>
      </c>
      <c r="C13" s="11" t="s">
        <v>274</v>
      </c>
    </row>
    <row r="14" spans="1:8" ht="28.8" x14ac:dyDescent="0.3">
      <c r="A14" s="10" t="s">
        <v>154</v>
      </c>
      <c r="B14" s="10" t="s">
        <v>155</v>
      </c>
      <c r="C14" s="10" t="s">
        <v>275</v>
      </c>
    </row>
    <row r="15" spans="1:8" ht="28.8" x14ac:dyDescent="0.3">
      <c r="A15" s="11" t="s">
        <v>157</v>
      </c>
      <c r="B15" s="11" t="s">
        <v>158</v>
      </c>
      <c r="C15" s="11" t="s">
        <v>275</v>
      </c>
    </row>
    <row r="16" spans="1:8" x14ac:dyDescent="0.3">
      <c r="A16" s="10" t="s">
        <v>160</v>
      </c>
      <c r="B16" s="10" t="s">
        <v>161</v>
      </c>
      <c r="C16" s="10" t="s">
        <v>276</v>
      </c>
    </row>
    <row r="17" spans="1:3" ht="43.2" x14ac:dyDescent="0.3">
      <c r="A17" s="11" t="s">
        <v>202</v>
      </c>
      <c r="B17" s="11" t="s">
        <v>203</v>
      </c>
      <c r="C17" s="11" t="s">
        <v>277</v>
      </c>
    </row>
    <row r="18" spans="1:3" ht="28.8" x14ac:dyDescent="0.3">
      <c r="A18" s="10" t="s">
        <v>205</v>
      </c>
      <c r="B18" s="10" t="s">
        <v>206</v>
      </c>
      <c r="C18" s="10" t="s">
        <v>278</v>
      </c>
    </row>
    <row r="19" spans="1:3" ht="28.8" x14ac:dyDescent="0.3">
      <c r="A19" s="11" t="s">
        <v>208</v>
      </c>
      <c r="B19" s="11" t="s">
        <v>209</v>
      </c>
      <c r="C19" s="11" t="s">
        <v>279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9"/>
  <sheetViews>
    <sheetView workbookViewId="0">
      <selection activeCell="H20" sqref="H20"/>
    </sheetView>
  </sheetViews>
  <sheetFormatPr defaultRowHeight="14.4" x14ac:dyDescent="0.3"/>
  <cols>
    <col min="1" max="1" width="3.21875" customWidth="1"/>
    <col min="2" max="6" width="11.33203125" customWidth="1"/>
  </cols>
  <sheetData>
    <row r="2" spans="2:6" x14ac:dyDescent="0.3">
      <c r="B2" s="13" t="s">
        <v>85</v>
      </c>
      <c r="C2" s="28" t="s">
        <v>86</v>
      </c>
      <c r="D2" s="28"/>
      <c r="E2" s="28"/>
      <c r="F2" s="28"/>
    </row>
    <row r="3" spans="2:6" ht="28.8" customHeight="1" x14ac:dyDescent="0.3">
      <c r="B3" s="14" t="s">
        <v>88</v>
      </c>
      <c r="C3" s="27" t="s">
        <v>89</v>
      </c>
      <c r="D3" s="27"/>
      <c r="E3" s="27"/>
      <c r="F3" s="27"/>
    </row>
    <row r="4" spans="2:6" x14ac:dyDescent="0.3">
      <c r="B4" s="13" t="s">
        <v>91</v>
      </c>
      <c r="C4" s="28" t="s">
        <v>92</v>
      </c>
      <c r="D4" s="28"/>
      <c r="E4" s="28"/>
      <c r="F4" s="28"/>
    </row>
    <row r="5" spans="2:6" x14ac:dyDescent="0.3">
      <c r="B5" s="14" t="s">
        <v>94</v>
      </c>
      <c r="C5" s="27" t="s">
        <v>95</v>
      </c>
      <c r="D5" s="27"/>
      <c r="E5" s="27"/>
      <c r="F5" s="27"/>
    </row>
    <row r="6" spans="2:6" x14ac:dyDescent="0.3">
      <c r="B6" s="13" t="s">
        <v>97</v>
      </c>
      <c r="C6" s="28" t="s">
        <v>98</v>
      </c>
      <c r="D6" s="28"/>
      <c r="E6" s="28"/>
      <c r="F6" s="28"/>
    </row>
    <row r="7" spans="2:6" x14ac:dyDescent="0.3">
      <c r="B7" s="14" t="s">
        <v>100</v>
      </c>
      <c r="C7" s="27" t="s">
        <v>101</v>
      </c>
      <c r="D7" s="27"/>
      <c r="E7" s="27"/>
      <c r="F7" s="27"/>
    </row>
    <row r="9" spans="2:6" x14ac:dyDescent="0.3">
      <c r="B9" s="15" t="s">
        <v>103</v>
      </c>
      <c r="C9" s="15" t="s">
        <v>23</v>
      </c>
      <c r="D9" s="15" t="s">
        <v>24</v>
      </c>
      <c r="E9" s="15" t="s">
        <v>104</v>
      </c>
      <c r="F9" s="15" t="s">
        <v>105</v>
      </c>
    </row>
    <row r="10" spans="2:6" x14ac:dyDescent="0.3">
      <c r="B10" s="16" t="s">
        <v>31</v>
      </c>
      <c r="C10" s="16" t="s">
        <v>32</v>
      </c>
      <c r="D10" s="16" t="s">
        <v>33</v>
      </c>
      <c r="E10" s="16" t="s">
        <v>108</v>
      </c>
      <c r="F10" s="17">
        <v>55000</v>
      </c>
    </row>
    <row r="11" spans="2:6" x14ac:dyDescent="0.3">
      <c r="B11" s="16" t="s">
        <v>37</v>
      </c>
      <c r="C11" s="16" t="s">
        <v>38</v>
      </c>
      <c r="D11" s="16" t="s">
        <v>39</v>
      </c>
      <c r="E11" s="16" t="s">
        <v>109</v>
      </c>
      <c r="F11" s="17">
        <v>42000</v>
      </c>
    </row>
    <row r="12" spans="2:6" x14ac:dyDescent="0.3">
      <c r="B12" s="16" t="s">
        <v>42</v>
      </c>
      <c r="C12" s="16" t="s">
        <v>32</v>
      </c>
      <c r="D12" s="16" t="s">
        <v>43</v>
      </c>
      <c r="E12" s="16" t="s">
        <v>108</v>
      </c>
      <c r="F12" s="17">
        <v>62000</v>
      </c>
    </row>
    <row r="13" spans="2:6" x14ac:dyDescent="0.3">
      <c r="B13" s="16" t="s">
        <v>46</v>
      </c>
      <c r="C13" s="16" t="s">
        <v>47</v>
      </c>
      <c r="D13" s="16" t="s">
        <v>33</v>
      </c>
      <c r="E13" s="16" t="s">
        <v>109</v>
      </c>
      <c r="F13" s="17">
        <v>71000</v>
      </c>
    </row>
    <row r="14" spans="2:6" x14ac:dyDescent="0.3">
      <c r="B14" s="16" t="s">
        <v>48</v>
      </c>
      <c r="C14" s="16" t="s">
        <v>32</v>
      </c>
      <c r="D14" s="16" t="s">
        <v>39</v>
      </c>
      <c r="E14" s="16" t="s">
        <v>109</v>
      </c>
      <c r="F14" s="17">
        <v>48000</v>
      </c>
    </row>
    <row r="15" spans="2:6" x14ac:dyDescent="0.3">
      <c r="B15" s="16" t="s">
        <v>50</v>
      </c>
      <c r="C15" s="16" t="s">
        <v>51</v>
      </c>
      <c r="D15" s="16" t="s">
        <v>43</v>
      </c>
      <c r="E15" s="16" t="s">
        <v>108</v>
      </c>
      <c r="F15" s="17">
        <v>39000</v>
      </c>
    </row>
    <row r="16" spans="2:6" x14ac:dyDescent="0.3">
      <c r="B16" s="16" t="s">
        <v>52</v>
      </c>
      <c r="C16" s="16" t="s">
        <v>47</v>
      </c>
      <c r="D16" s="16" t="s">
        <v>39</v>
      </c>
      <c r="E16" s="16" t="s">
        <v>109</v>
      </c>
      <c r="F16" s="17">
        <v>68000</v>
      </c>
    </row>
    <row r="17" spans="2:6" x14ac:dyDescent="0.3">
      <c r="B17" s="16" t="s">
        <v>54</v>
      </c>
      <c r="C17" s="16" t="s">
        <v>51</v>
      </c>
      <c r="D17" s="16" t="s">
        <v>33</v>
      </c>
      <c r="E17" s="16" t="s">
        <v>108</v>
      </c>
      <c r="F17" s="17">
        <v>45000</v>
      </c>
    </row>
    <row r="18" spans="2:6" x14ac:dyDescent="0.3">
      <c r="B18" s="16" t="s">
        <v>110</v>
      </c>
      <c r="C18" s="16" t="s">
        <v>38</v>
      </c>
      <c r="D18" s="16" t="s">
        <v>33</v>
      </c>
      <c r="E18" s="16" t="s">
        <v>109</v>
      </c>
      <c r="F18" s="17">
        <v>51000</v>
      </c>
    </row>
    <row r="19" spans="2:6" x14ac:dyDescent="0.3">
      <c r="B19" s="16" t="s">
        <v>111</v>
      </c>
      <c r="C19" s="16" t="s">
        <v>32</v>
      </c>
      <c r="D19" s="16" t="s">
        <v>33</v>
      </c>
      <c r="E19" s="16" t="s">
        <v>108</v>
      </c>
      <c r="F19" s="17">
        <v>73000</v>
      </c>
    </row>
  </sheetData>
  <mergeCells count="6">
    <mergeCell ref="C7:F7"/>
    <mergeCell ref="C2:F2"/>
    <mergeCell ref="C3:F3"/>
    <mergeCell ref="C4:F4"/>
    <mergeCell ref="C5:F5"/>
    <mergeCell ref="C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 Sort &amp; Filter</vt:lpstr>
      <vt:lpstr>02 IF COUNT AVERAGE</vt:lpstr>
      <vt:lpstr>03 Text &amp; Logic</vt:lpstr>
      <vt:lpstr>04 SUBTOTAL INDIRECT OFFSET</vt:lpstr>
      <vt:lpstr>05 Mixed Challenge</vt:lpstr>
      <vt:lpstr>06 Quick Reference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Shreenath Tambe</cp:lastModifiedBy>
  <dcterms:created xsi:type="dcterms:W3CDTF">2026-09-03T04:22:25Z</dcterms:created>
  <dcterms:modified xsi:type="dcterms:W3CDTF">2026-09-28T05:31:10Z</dcterms:modified>
</cp:coreProperties>
</file>